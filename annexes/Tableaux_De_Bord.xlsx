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Commercial" sheetId="2" state="visible" r:id="rId4"/>
    <sheet name="Adoption" sheetId="3" state="visible" r:id="rId5"/>
    <sheet name="Fin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<sst xmlns="http://schemas.openxmlformats.org/spreadsheetml/2006/main" count="158" uniqueCount="108">
  <si>
    <t xml:space="preserve">TABLEAUX DE BORD DE CONTRÔLE DE L'ACTIVITÉ</t>
  </si>
  <si>
    <t xml:space="preserve">Trois tableaux : Commercial (l'entonnoir et le portefeuille) · Adoption (la valeur d'usage — notre hypothèse</t>
  </si>
  <si>
    <t xml:space="preserve">la plus risquée) · Finance (l'économie du projet). Chaque indicateur a trois lignes :</t>
  </si>
  <si>
    <t xml:space="preserve">   OBJECTIF — figé depuis le modèle financier (Modele_Financier_BP.xlsx, version du 04/08/2026).</t>
  </si>
  <si>
    <t xml:space="preserve">   RÉALISÉ — cellules jaunes, à saisir chaque trimestre (la colonne « Exemple », grisée, montre le format attendu).</t>
  </si>
  <si>
    <t xml:space="preserve">   ÉCART — calculé automatiquement (réalisé / objectif − 1) ; s'affiche dès qu'un réalisé est saisi.</t>
  </si>
  <si>
    <t xml:space="preserve">Règles de pilotage (proposées) :</t>
  </si>
  <si>
    <t xml:space="preserve">   · Un écart &lt; −20 % sur deux trimestres consécutifs déclenche un plan d'action documenté.</t>
  </si>
  <si>
    <t xml:space="preserve">   · L'activation à 3 mois sous 12 % (seuil d'alerte) déclenche le plan de relance adoption</t>
  </si>
  <si>
    <t xml:space="preserve">     (sponsoring direction, onboarding managers, campagne interne) avant tout nouveau déploiement.</t>
  </si>
  <si>
    <t xml:space="preserve">   · La trésorerie sous 6 mois de burn déclenche la préparation d'un financement relais.</t>
  </si>
  <si>
    <t xml:space="preserve">Pourquoi ces indicateurs : ils correspondent un à un aux objectifs du business plan (critère explicite</t>
  </si>
  <si>
    <t xml:space="preserve">de la grille de soutenance : « les tableaux de bord correspondent aux objectifs fixés »).</t>
  </si>
  <si>
    <t xml:space="preserve">TABLEAU DE BORD — COMMERCIAL</t>
  </si>
  <si>
    <t xml:space="preserve">Objectifs figés depuis le modèle financier (04/08/2026). Jaune = à saisir. Colonne Exemple = format attendu.</t>
  </si>
  <si>
    <t xml:space="preserve">Exemple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</si>
  <si>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</si>
  <si>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</si>
  <si>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</si>
  <si>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</si>
  <si>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</si>
  <si>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</si>
  <si>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</si>
  <si>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</si>
  <si>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</si>
  <si>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</si>
  <si>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</si>
  <si>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</si>
  <si>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Entonnoir de prospection (cibles issues des taux de passage du BP)</t>
  </si>
  <si>
    <t xml:space="preserve">Comptes travaillés (cumul trimestre) — objectif</t>
  </si>
  <si>
    <t xml:space="preserve">—</t>
  </si>
  <si>
    <t xml:space="preserve">Comptes travaillés (cumul trimestre) — réalisé</t>
  </si>
  <si>
    <t xml:space="preserve">Comptes travaillés (cumul trimestre) — écart</t>
  </si>
  <si>
    <t xml:space="preserve">RDV obtenus — objectif</t>
  </si>
  <si>
    <t xml:space="preserve">RDV obtenus — réalisé</t>
  </si>
  <si>
    <t xml:space="preserve">RDV obtenus — écart</t>
  </si>
  <si>
    <t xml:space="preserve">Démos réalisées — objectif</t>
  </si>
  <si>
    <t xml:space="preserve">Démos réalisées — réalisé</t>
  </si>
  <si>
    <t xml:space="preserve">Démos réalisées — écart</t>
  </si>
  <si>
    <t xml:space="preserve">Pilotes démarrés — objectif</t>
  </si>
  <si>
    <t xml:space="preserve">Pilotes démarrés — réalisé</t>
  </si>
  <si>
    <t xml:space="preserve">Pilotes démarrés — écart</t>
  </si>
  <si>
    <t xml:space="preserve">Contrats signés (nouveaux clients) — objectif</t>
  </si>
  <si>
    <t xml:space="preserve">Contrats signés (nouveaux clients) — réalisé</t>
  </si>
  <si>
    <t xml:space="preserve">Contrats signés (nouveaux clients) — écart</t>
  </si>
  <si>
    <t xml:space="preserve">Portefeuille</t>
  </si>
  <si>
    <t xml:space="preserve">Clients actifs (fin de trimestre) — objectif</t>
  </si>
  <si>
    <t xml:space="preserve">Clients actifs (fin de trimestre) — réalisé</t>
  </si>
  <si>
    <t xml:space="preserve">Clients actifs (fin de trimestre) — écart</t>
  </si>
  <si>
    <t xml:space="preserve">Salariés couverts (fin de trimestre) — objectif</t>
  </si>
  <si>
    <t xml:space="preserve">Salariés couverts (fin de trimestre) — réalisé</t>
  </si>
  <si>
    <t xml:space="preserve">Salariés couverts (fin de trimestre) — écart</t>
  </si>
  <si>
    <t xml:space="preserve">MRR fin de trimestre (€) — objectif</t>
  </si>
  <si>
    <t xml:space="preserve">MRR fin de trimestre (€) — réalisé</t>
  </si>
  <si>
    <t xml:space="preserve">MRR fin de trimestre (€) — écart</t>
  </si>
  <si>
    <t xml:space="preserve">TABLEAU DE BORD — ADOPTION</t>
  </si>
  <si>
    <t xml:space="preserve">Activation (hypothèse la plus risquée du projet — scénario central 22 %, alerte &lt; 12 %)</t>
  </si>
  <si>
    <t xml:space="preserve">Taux d'activation à 3 mois (cohortes du trimestre) — objectif</t>
  </si>
  <si>
    <t xml:space="preserve">Taux d'activation à 3 mois (cohortes du trimestre) — réalisé</t>
  </si>
  <si>
    <t xml:space="preserve">Taux d'activation à 3 mois (cohortes du trimestre) — écart</t>
  </si>
  <si>
    <t xml:space="preserve">Utilisateurs actifs mensuels (% des comptes activés) — objectif</t>
  </si>
  <si>
    <t xml:space="preserve">Utilisateurs actifs mensuels (% des comptes activés) — réalisé</t>
  </si>
  <si>
    <t xml:space="preserve">Utilisateurs actifs mensuels (% des comptes activés) — écart</t>
  </si>
  <si>
    <t xml:space="preserve">Valeur d'usage</t>
  </si>
  <si>
    <t xml:space="preserve">NPS salariés (enquête trimestrielle) — objectif</t>
  </si>
  <si>
    <t xml:space="preserve">NPS salariés (enquête trimestrielle) — réalisé</t>
  </si>
  <si>
    <t xml:space="preserve">NPS salariés (enquête trimestrielle) — écart</t>
  </si>
  <si>
    <t xml:space="preserve">Actions d'activation réalisées (Cockpit, nb) — objectif</t>
  </si>
  <si>
    <t xml:space="preserve">Actions d'activation réalisées (Cockpit, nb) — réalisé</t>
  </si>
  <si>
    <t xml:space="preserve">Actions d'activation réalisées (Cockpit, nb) — écart</t>
  </si>
  <si>
    <t xml:space="preserve">Packs vendus (nb) — objectif</t>
  </si>
  <si>
    <t xml:space="preserve">Packs vendus (nb) — réalisé</t>
  </si>
  <si>
    <t xml:space="preserve">Packs vendus (nb) — écart</t>
  </si>
  <si>
    <t xml:space="preserve">Passeports EDUCFI délivrés (nb) — objectif</t>
  </si>
  <si>
    <t xml:space="preserve">Passeports EDUCFI délivrés (nb) — réalisé</t>
  </si>
  <si>
    <t xml:space="preserve">Passeports EDUCFI délivrés (nb) — écart</t>
  </si>
  <si>
    <t xml:space="preserve">Rétention côté client</t>
  </si>
  <si>
    <t xml:space="preserve">Clients en pilote convertis (%) — objectif</t>
  </si>
  <si>
    <t xml:space="preserve">Clients en pilote convertis (%) — réalisé</t>
  </si>
  <si>
    <t xml:space="preserve">Clients en pilote convertis (%) — écart</t>
  </si>
  <si>
    <t xml:space="preserve">Renouvellements obtenus / dus (%) — objectif</t>
  </si>
  <si>
    <t xml:space="preserve">Renouvellements obtenus / dus (%) — réalisé</t>
  </si>
  <si>
    <t xml:space="preserve">Renouvellements obtenus / dus (%) — écart</t>
  </si>
  <si>
    <t xml:space="preserve">TABLEAU DE BORD — FINANCE</t>
  </si>
  <si>
    <t xml:space="preserve">Revenus</t>
  </si>
  <si>
    <t xml:space="preserve">ARR fin de trimestre (€) — objectif</t>
  </si>
  <si>
    <t xml:space="preserve">ARR fin de trimestre (€) — réalisé</t>
  </si>
  <si>
    <t xml:space="preserve">ARR fin de trimestre (€) — écart</t>
  </si>
  <si>
    <t xml:space="preserve">Marge brute (%) — objectif</t>
  </si>
  <si>
    <t xml:space="preserve">Marge brute (%) — réalisé</t>
  </si>
  <si>
    <t xml:space="preserve">Marge brute (%) — écart</t>
  </si>
  <si>
    <t xml:space="preserve">Cash</t>
  </si>
  <si>
    <t xml:space="preserve">EBITDA du trimestre (€) — objectif</t>
  </si>
  <si>
    <t xml:space="preserve">EBITDA du trimestre (€) — réalisé</t>
  </si>
  <si>
    <t xml:space="preserve">EBITDA du trimestre (€) — écart</t>
  </si>
  <si>
    <t xml:space="preserve">Trésorerie fin de trimestre (€) — objectif</t>
  </si>
  <si>
    <t xml:space="preserve">Trésorerie fin de trimestre (€) — réalisé</t>
  </si>
  <si>
    <t xml:space="preserve">Trésorerie fin de trimestre (€) — écart</t>
  </si>
  <si>
    <t xml:space="preserve">Runway (mois de charges fixes devant soi) — objectif</t>
  </si>
  <si>
    <t xml:space="preserve">Runway (mois de charges fixes devant soi) — réalisé</t>
  </si>
  <si>
    <t xml:space="preserve">Runway (mois de charges fixes devant soi) — écart</t>
  </si>
  <si>
    <t xml:space="preserve">Efficacité commerciale (revue semestrielle)</t>
  </si>
  <si>
    <t xml:space="preserve">CAC (€ / nouveau client) — objectif</t>
  </si>
  <si>
    <t xml:space="preserve">CAC (€ / nouveau client) — réalisé</t>
  </si>
  <si>
    <t xml:space="preserve">CAC (€ / nouveau client) — écart</t>
  </si>
  <si>
    <t xml:space="preserve">Payback CAC (mois) — objectif</t>
  </si>
  <si>
    <t xml:space="preserve">Payback CAC (mois) — réalisé</t>
  </si>
  <si>
    <t xml:space="preserve">Payback CAC (mois) — écart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</si>
</sst>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DCE6EA"/>
        <bgColor rgb="FFF2F2F2"/>
      </patternFill>
    </fill>
    <fill>
      <patternFill patternType="solid">
        <fgColor rgb="FF2F5B69"/>
        <bgColor rgb="FF666666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B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14" min="3" style="0" width="10.5"/>
  </cols>
  <sheetData>
    <row r="1" customFormat="false" ht="16.15" hidden="false" customHeight="false" outlineLevel="0" collapsed="false">
      <c r="A1" s="1" t="s">
        <v>13</v>
      </c>
    </row>
    <row r="2" customFormat="false" ht="15" hidden="false" customHeight="false" outlineLevel="0" collapsed="false">
      <c r="A2" s="3" t="s">
        <v>14</v>
      </c>
    </row>
    <row r="3" customFormat="false" ht="15" hidden="false" customHeight="false" outlineLevel="0" collapsed="false">
      <c r="B3" s="4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</row>
    <row r="4" customFormat="false" ht="15" hidden="false" customHeight="false" outlineLevel="0" collapsed="false">
      <c r="A4" s="6" t="s">
        <v>28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5" hidden="false" customHeight="false" outlineLevel="0" collapsed="false">
      <c r="A5" s="2" t="s">
        <v>29</v>
      </c>
      <c r="B5" s="4" t="s">
        <v>30</v>
      </c>
      <c r="C5" s="8" t="n">
        <v>0</v>
      </c>
      <c r="D5" s="8" t="n">
        <v>67</v>
      </c>
      <c r="E5" s="8" t="n">
        <v>167</v>
      </c>
      <c r="F5" s="8" t="n">
        <v>267</v>
      </c>
      <c r="G5" s="8" t="n">
        <v>267</v>
      </c>
      <c r="H5" s="8" t="n">
        <v>300</v>
      </c>
      <c r="I5" s="8" t="n">
        <v>300</v>
      </c>
      <c r="J5" s="8" t="n">
        <v>333</v>
      </c>
      <c r="K5" s="8" t="n">
        <v>567</v>
      </c>
      <c r="L5" s="8" t="n">
        <v>600</v>
      </c>
      <c r="M5" s="8" t="n">
        <v>633</v>
      </c>
      <c r="N5" s="8" t="n">
        <v>700</v>
      </c>
    </row>
    <row r="6" customFormat="false" ht="15" hidden="false" customHeight="false" outlineLevel="0" collapsed="false">
      <c r="A6" s="2" t="s">
        <v>31</v>
      </c>
      <c r="B6" s="9" t="n">
        <v>120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3" t="s">
        <v>32</v>
      </c>
      <c r="C7" s="11" t="str">
        <f aca="false">IF(C6="","",IFERROR(C6/C5-1,""))</f>
        <v/>
      </c>
      <c r="D7" s="11" t="str">
        <f aca="false">IF(D6="","",IFERROR(D6/D5-1,""))</f>
        <v/>
      </c>
      <c r="E7" s="11" t="str">
        <f aca="false">IF(E6="","",IFERROR(E6/E5-1,""))</f>
        <v/>
      </c>
      <c r="F7" s="11" t="str">
        <f aca="false">IF(F6="","",IFERROR(F6/F5-1,""))</f>
        <v/>
      </c>
      <c r="G7" s="11" t="str">
        <f aca="false">IF(G6="","",IFERROR(G6/G5-1,""))</f>
        <v/>
      </c>
      <c r="H7" s="11" t="str">
        <f aca="false">IF(H6="","",IFERROR(H6/H5-1,""))</f>
        <v/>
      </c>
      <c r="I7" s="11" t="str">
        <f aca="false">IF(I6="","",IFERROR(I6/I5-1,""))</f>
        <v/>
      </c>
      <c r="J7" s="11" t="str">
        <f aca="false">IF(J6="","",IFERROR(J6/J5-1,""))</f>
        <v/>
      </c>
      <c r="K7" s="11" t="str">
        <f aca="false">IF(K6="","",IFERROR(K6/K5-1,""))</f>
        <v/>
      </c>
      <c r="L7" s="11" t="str">
        <f aca="false">IF(L6="","",IFERROR(L6/L5-1,""))</f>
        <v/>
      </c>
      <c r="M7" s="11" t="str">
        <f aca="false">IF(M6="","",IFERROR(M6/M5-1,""))</f>
        <v/>
      </c>
      <c r="N7" s="11" t="str">
        <f aca="false">IF(N6="","",IFERROR(N6/N5-1,""))</f>
        <v/>
      </c>
    </row>
    <row r="8" customFormat="false" ht="15" hidden="false" customHeight="false" outlineLevel="0" collapsed="false">
      <c r="A8" s="2" t="s">
        <v>33</v>
      </c>
      <c r="B8" s="4" t="s">
        <v>30</v>
      </c>
      <c r="C8" s="8" t="n">
        <v>0</v>
      </c>
      <c r="D8" s="8" t="n">
        <v>17</v>
      </c>
      <c r="E8" s="8" t="n">
        <v>42</v>
      </c>
      <c r="F8" s="8" t="n">
        <v>67</v>
      </c>
      <c r="G8" s="8" t="n">
        <v>67</v>
      </c>
      <c r="H8" s="8" t="n">
        <v>75</v>
      </c>
      <c r="I8" s="8" t="n">
        <v>75</v>
      </c>
      <c r="J8" s="8" t="n">
        <v>83</v>
      </c>
      <c r="K8" s="8" t="n">
        <v>142</v>
      </c>
      <c r="L8" s="8" t="n">
        <v>150</v>
      </c>
      <c r="M8" s="8" t="n">
        <v>158</v>
      </c>
      <c r="N8" s="8" t="n">
        <v>175</v>
      </c>
    </row>
    <row r="9" customFormat="false" ht="15" hidden="false" customHeight="false" outlineLevel="0" collapsed="false">
      <c r="A9" s="2" t="s">
        <v>34</v>
      </c>
      <c r="B9" s="9" t="n">
        <v>30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customFormat="false" ht="15" hidden="false" customHeight="false" outlineLevel="0" collapsed="false">
      <c r="A10" s="3" t="s">
        <v>35</v>
      </c>
      <c r="C10" s="11" t="str">
        <f aca="false">IF(C9="","",IFERROR(C9/C8-1,""))</f>
        <v/>
      </c>
      <c r="D10" s="11" t="str">
        <f aca="false">IF(D9="","",IFERROR(D9/D8-1,""))</f>
        <v/>
      </c>
      <c r="E10" s="11" t="str">
        <f aca="false">IF(E9="","",IFERROR(E9/E8-1,""))</f>
        <v/>
      </c>
      <c r="F10" s="11" t="str">
        <f aca="false">IF(F9="","",IFERROR(F9/F8-1,""))</f>
        <v/>
      </c>
      <c r="G10" s="11" t="str">
        <f aca="false">IF(G9="","",IFERROR(G9/G8-1,""))</f>
        <v/>
      </c>
      <c r="H10" s="11" t="str">
        <f aca="false">IF(H9="","",IFERROR(H9/H8-1,""))</f>
        <v/>
      </c>
      <c r="I10" s="11" t="str">
        <f aca="false">IF(I9="","",IFERROR(I9/I8-1,""))</f>
        <v/>
      </c>
      <c r="J10" s="11" t="str">
        <f aca="false">IF(J9="","",IFERROR(J9/J8-1,""))</f>
        <v/>
      </c>
      <c r="K10" s="11" t="str">
        <f aca="false">IF(K9="","",IFERROR(K9/K8-1,""))</f>
        <v/>
      </c>
      <c r="L10" s="11" t="str">
        <f aca="false">IF(L9="","",IFERROR(L9/L8-1,""))</f>
        <v/>
      </c>
      <c r="M10" s="11" t="str">
        <f aca="false">IF(M9="","",IFERROR(M9/M8-1,""))</f>
        <v/>
      </c>
      <c r="N10" s="11" t="str">
        <f aca="false">IF(N9="","",IFERROR(N9/N8-1,""))</f>
        <v/>
      </c>
    </row>
    <row r="11" customFormat="false" ht="15" hidden="false" customHeight="false" outlineLevel="0" collapsed="false">
      <c r="A11" s="2" t="s">
        <v>36</v>
      </c>
      <c r="B11" s="4" t="s">
        <v>30</v>
      </c>
      <c r="C11" s="8" t="n">
        <v>0</v>
      </c>
      <c r="D11" s="8" t="n">
        <v>8</v>
      </c>
      <c r="E11" s="8" t="n">
        <v>21</v>
      </c>
      <c r="F11" s="8" t="n">
        <v>33</v>
      </c>
      <c r="G11" s="8" t="n">
        <v>33</v>
      </c>
      <c r="H11" s="8" t="n">
        <v>38</v>
      </c>
      <c r="I11" s="8" t="n">
        <v>38</v>
      </c>
      <c r="J11" s="8" t="n">
        <v>42</v>
      </c>
      <c r="K11" s="8" t="n">
        <v>71</v>
      </c>
      <c r="L11" s="8" t="n">
        <v>75</v>
      </c>
      <c r="M11" s="8" t="n">
        <v>79</v>
      </c>
      <c r="N11" s="8" t="n">
        <v>88</v>
      </c>
    </row>
    <row r="12" customFormat="false" ht="15" hidden="false" customHeight="false" outlineLevel="0" collapsed="false">
      <c r="A12" s="2" t="s">
        <v>37</v>
      </c>
      <c r="B12" s="9" t="n">
        <v>15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customFormat="false" ht="15" hidden="false" customHeight="false" outlineLevel="0" collapsed="false">
      <c r="A13" s="3" t="s">
        <v>38</v>
      </c>
      <c r="C13" s="11" t="str">
        <f aca="false">IF(C12="","",IFERROR(C12/C11-1,""))</f>
        <v/>
      </c>
      <c r="D13" s="11" t="str">
        <f aca="false">IF(D12="","",IFERROR(D12/D11-1,""))</f>
        <v/>
      </c>
      <c r="E13" s="11" t="str">
        <f aca="false">IF(E12="","",IFERROR(E12/E11-1,""))</f>
        <v/>
      </c>
      <c r="F13" s="11" t="str">
        <f aca="false">IF(F12="","",IFERROR(F12/F11-1,""))</f>
        <v/>
      </c>
      <c r="G13" s="11" t="str">
        <f aca="false">IF(G12="","",IFERROR(G12/G11-1,""))</f>
        <v/>
      </c>
      <c r="H13" s="11" t="str">
        <f aca="false">IF(H12="","",IFERROR(H12/H11-1,""))</f>
        <v/>
      </c>
      <c r="I13" s="11" t="str">
        <f aca="false">IF(I12="","",IFERROR(I12/I11-1,""))</f>
        <v/>
      </c>
      <c r="J13" s="11" t="str">
        <f aca="false">IF(J12="","",IFERROR(J12/J11-1,""))</f>
        <v/>
      </c>
      <c r="K13" s="11" t="str">
        <f aca="false">IF(K12="","",IFERROR(K12/K11-1,""))</f>
        <v/>
      </c>
      <c r="L13" s="11" t="str">
        <f aca="false">IF(L12="","",IFERROR(L12/L11-1,""))</f>
        <v/>
      </c>
      <c r="M13" s="11" t="str">
        <f aca="false">IF(M12="","",IFERROR(M12/M11-1,""))</f>
        <v/>
      </c>
      <c r="N13" s="11" t="str">
        <f aca="false">IF(N12="","",IFERROR(N12/N11-1,""))</f>
        <v/>
      </c>
    </row>
    <row r="14" customFormat="false" ht="15" hidden="false" customHeight="false" outlineLevel="0" collapsed="false">
      <c r="A14" s="2" t="s">
        <v>39</v>
      </c>
      <c r="B14" s="4" t="s">
        <v>30</v>
      </c>
      <c r="C14" s="8" t="n">
        <v>0</v>
      </c>
      <c r="D14" s="8" t="n">
        <v>3</v>
      </c>
      <c r="E14" s="8" t="n">
        <v>8</v>
      </c>
      <c r="F14" s="8" t="n">
        <v>13</v>
      </c>
      <c r="G14" s="8" t="n">
        <v>13</v>
      </c>
      <c r="H14" s="8" t="n">
        <v>15</v>
      </c>
      <c r="I14" s="8" t="n">
        <v>15</v>
      </c>
      <c r="J14" s="8" t="n">
        <v>17</v>
      </c>
      <c r="K14" s="8" t="n">
        <v>28</v>
      </c>
      <c r="L14" s="8" t="n">
        <v>30</v>
      </c>
      <c r="M14" s="8" t="n">
        <v>32</v>
      </c>
      <c r="N14" s="8" t="n">
        <v>35</v>
      </c>
    </row>
    <row r="15" customFormat="false" ht="15" hidden="false" customHeight="false" outlineLevel="0" collapsed="false">
      <c r="A15" s="2" t="s">
        <v>40</v>
      </c>
      <c r="B15" s="9" t="n">
        <v>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customFormat="false" ht="15" hidden="false" customHeight="false" outlineLevel="0" collapsed="false">
      <c r="A16" s="3" t="s">
        <v>41</v>
      </c>
      <c r="C16" s="11" t="str">
        <f aca="false">IF(C15="","",IFERROR(C15/C14-1,""))</f>
        <v/>
      </c>
      <c r="D16" s="11" t="str">
        <f aca="false">IF(D15="","",IFERROR(D15/D14-1,""))</f>
        <v/>
      </c>
      <c r="E16" s="11" t="str">
        <f aca="false">IF(E15="","",IFERROR(E15/E14-1,""))</f>
        <v/>
      </c>
      <c r="F16" s="11" t="str">
        <f aca="false">IF(F15="","",IFERROR(F15/F14-1,""))</f>
        <v/>
      </c>
      <c r="G16" s="11" t="str">
        <f aca="false">IF(G15="","",IFERROR(G15/G14-1,""))</f>
        <v/>
      </c>
      <c r="H16" s="11" t="str">
        <f aca="false">IF(H15="","",IFERROR(H15/H14-1,""))</f>
        <v/>
      </c>
      <c r="I16" s="11" t="str">
        <f aca="false">IF(I15="","",IFERROR(I15/I14-1,""))</f>
        <v/>
      </c>
      <c r="J16" s="11" t="str">
        <f aca="false">IF(J15="","",IFERROR(J15/J14-1,""))</f>
        <v/>
      </c>
      <c r="K16" s="11" t="str">
        <f aca="false">IF(K15="","",IFERROR(K15/K14-1,""))</f>
        <v/>
      </c>
      <c r="L16" s="11" t="str">
        <f aca="false">IF(L15="","",IFERROR(L15/L14-1,""))</f>
        <v/>
      </c>
      <c r="M16" s="11" t="str">
        <f aca="false">IF(M15="","",IFERROR(M15/M14-1,""))</f>
        <v/>
      </c>
      <c r="N16" s="11" t="str">
        <f aca="false">IF(N15="","",IFERROR(N15/N14-1,""))</f>
        <v/>
      </c>
    </row>
    <row r="17" customFormat="false" ht="15" hidden="false" customHeight="false" outlineLevel="0" collapsed="false">
      <c r="A17" s="2" t="s">
        <v>42</v>
      </c>
      <c r="B17" s="4" t="s">
        <v>30</v>
      </c>
      <c r="C17" s="8" t="n">
        <v>0</v>
      </c>
      <c r="D17" s="8" t="n">
        <v>2</v>
      </c>
      <c r="E17" s="8" t="n">
        <v>5</v>
      </c>
      <c r="F17" s="8" t="n">
        <v>8</v>
      </c>
      <c r="G17" s="8" t="n">
        <v>8</v>
      </c>
      <c r="H17" s="8" t="n">
        <v>9</v>
      </c>
      <c r="I17" s="8" t="n">
        <v>9</v>
      </c>
      <c r="J17" s="8" t="n">
        <v>10</v>
      </c>
      <c r="K17" s="8" t="n">
        <v>17</v>
      </c>
      <c r="L17" s="8" t="n">
        <v>18</v>
      </c>
      <c r="M17" s="8" t="n">
        <v>19</v>
      </c>
      <c r="N17" s="8" t="n">
        <v>21</v>
      </c>
    </row>
    <row r="18" customFormat="false" ht="15" hidden="false" customHeight="false" outlineLevel="0" collapsed="false">
      <c r="A18" s="2" t="s">
        <v>43</v>
      </c>
      <c r="B18" s="9" t="n">
        <v>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customFormat="false" ht="15" hidden="false" customHeight="false" outlineLevel="0" collapsed="false">
      <c r="A19" s="3" t="s">
        <v>44</v>
      </c>
      <c r="C19" s="11" t="str">
        <f aca="false">IF(C18="","",IFERROR(C18/C17-1,""))</f>
        <v/>
      </c>
      <c r="D19" s="11" t="str">
        <f aca="false">IF(D18="","",IFERROR(D18/D17-1,""))</f>
        <v/>
      </c>
      <c r="E19" s="11" t="str">
        <f aca="false">IF(E18="","",IFERROR(E18/E17-1,""))</f>
        <v/>
      </c>
      <c r="F19" s="11" t="str">
        <f aca="false">IF(F18="","",IFERROR(F18/F17-1,""))</f>
        <v/>
      </c>
      <c r="G19" s="11" t="str">
        <f aca="false">IF(G18="","",IFERROR(G18/G17-1,""))</f>
        <v/>
      </c>
      <c r="H19" s="11" t="str">
        <f aca="false">IF(H18="","",IFERROR(H18/H17-1,""))</f>
        <v/>
      </c>
      <c r="I19" s="11" t="str">
        <f aca="false">IF(I18="","",IFERROR(I18/I17-1,""))</f>
        <v/>
      </c>
      <c r="J19" s="11" t="str">
        <f aca="false">IF(J18="","",IFERROR(J18/J17-1,""))</f>
        <v/>
      </c>
      <c r="K19" s="11" t="str">
        <f aca="false">IF(K18="","",IFERROR(K18/K17-1,""))</f>
        <v/>
      </c>
      <c r="L19" s="11" t="str">
        <f aca="false">IF(L18="","",IFERROR(L18/L17-1,""))</f>
        <v/>
      </c>
      <c r="M19" s="11" t="str">
        <f aca="false">IF(M18="","",IFERROR(M18/M17-1,""))</f>
        <v/>
      </c>
      <c r="N19" s="11" t="str">
        <f aca="false">IF(N18="","",IFERROR(N18/N17-1,""))</f>
        <v/>
      </c>
    </row>
    <row r="21" customFormat="false" ht="15" hidden="false" customHeight="false" outlineLevel="0" collapsed="false">
      <c r="A21" s="6" t="s">
        <v>45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customFormat="false" ht="15" hidden="false" customHeight="false" outlineLevel="0" collapsed="false">
      <c r="A22" s="2" t="s">
        <v>46</v>
      </c>
      <c r="B22" s="4" t="s">
        <v>30</v>
      </c>
      <c r="C22" s="8" t="n">
        <v>0</v>
      </c>
      <c r="D22" s="8" t="n">
        <v>2</v>
      </c>
      <c r="E22" s="8" t="n">
        <v>7</v>
      </c>
      <c r="F22" s="8" t="n">
        <v>15</v>
      </c>
      <c r="G22" s="8" t="n">
        <v>23</v>
      </c>
      <c r="H22" s="8" t="n">
        <v>32</v>
      </c>
      <c r="I22" s="8" t="n">
        <v>41</v>
      </c>
      <c r="J22" s="8" t="n">
        <v>50</v>
      </c>
      <c r="K22" s="8" t="n">
        <v>66</v>
      </c>
      <c r="L22" s="8" t="n">
        <v>83</v>
      </c>
      <c r="M22" s="8" t="n">
        <v>101</v>
      </c>
      <c r="N22" s="8" t="n">
        <v>120</v>
      </c>
    </row>
    <row r="23" customFormat="false" ht="15" hidden="false" customHeight="false" outlineLevel="0" collapsed="false">
      <c r="A23" s="2" t="s">
        <v>47</v>
      </c>
      <c r="B23" s="9" t="n">
        <v>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customFormat="false" ht="15" hidden="false" customHeight="false" outlineLevel="0" collapsed="false">
      <c r="A24" s="3" t="s">
        <v>48</v>
      </c>
      <c r="C24" s="11" t="str">
        <f aca="false">IF(C23="","",IFERROR(C23/C22-1,""))</f>
        <v/>
      </c>
      <c r="D24" s="11" t="str">
        <f aca="false">IF(D23="","",IFERROR(D23/D22-1,""))</f>
        <v/>
      </c>
      <c r="E24" s="11" t="str">
        <f aca="false">IF(E23="","",IFERROR(E23/E22-1,""))</f>
        <v/>
      </c>
      <c r="F24" s="11" t="str">
        <f aca="false">IF(F23="","",IFERROR(F23/F22-1,""))</f>
        <v/>
      </c>
      <c r="G24" s="11" t="str">
        <f aca="false">IF(G23="","",IFERROR(G23/G22-1,""))</f>
        <v/>
      </c>
      <c r="H24" s="11" t="str">
        <f aca="false">IF(H23="","",IFERROR(H23/H22-1,""))</f>
        <v/>
      </c>
      <c r="I24" s="11" t="str">
        <f aca="false">IF(I23="","",IFERROR(I23/I22-1,""))</f>
        <v/>
      </c>
      <c r="J24" s="11" t="str">
        <f aca="false">IF(J23="","",IFERROR(J23/J22-1,""))</f>
        <v/>
      </c>
      <c r="K24" s="11" t="str">
        <f aca="false">IF(K23="","",IFERROR(K23/K22-1,""))</f>
        <v/>
      </c>
      <c r="L24" s="11" t="str">
        <f aca="false">IF(L23="","",IFERROR(L23/L22-1,""))</f>
        <v/>
      </c>
      <c r="M24" s="11" t="str">
        <f aca="false">IF(M23="","",IFERROR(M23/M22-1,""))</f>
        <v/>
      </c>
      <c r="N24" s="11" t="str">
        <f aca="false">IF(N23="","",IFERROR(N23/N22-1,""))</f>
        <v/>
      </c>
    </row>
    <row r="25" customFormat="false" ht="15" hidden="false" customHeight="false" outlineLevel="0" collapsed="false">
      <c r="A25" s="2" t="s">
        <v>49</v>
      </c>
      <c r="B25" s="4" t="s">
        <v>30</v>
      </c>
      <c r="C25" s="8" t="n">
        <v>0</v>
      </c>
      <c r="D25" s="8" t="n">
        <v>800</v>
      </c>
      <c r="E25" s="8" t="n">
        <v>2800</v>
      </c>
      <c r="F25" s="8" t="n">
        <v>6000</v>
      </c>
      <c r="G25" s="8" t="n">
        <v>11500</v>
      </c>
      <c r="H25" s="8" t="n">
        <v>16000</v>
      </c>
      <c r="I25" s="8" t="n">
        <v>20500</v>
      </c>
      <c r="J25" s="8" t="n">
        <v>25000</v>
      </c>
      <c r="K25" s="8" t="n">
        <v>38499.78</v>
      </c>
      <c r="L25" s="8" t="n">
        <v>48416.39</v>
      </c>
      <c r="M25" s="8" t="n">
        <v>58916.33</v>
      </c>
      <c r="N25" s="8" t="n">
        <v>69999.6</v>
      </c>
    </row>
    <row r="26" customFormat="false" ht="15" hidden="false" customHeight="false" outlineLevel="0" collapsed="false">
      <c r="A26" s="2" t="s">
        <v>50</v>
      </c>
      <c r="B26" s="9" t="n">
        <v>1600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customFormat="false" ht="15" hidden="false" customHeight="false" outlineLevel="0" collapsed="false">
      <c r="A27" s="3" t="s">
        <v>51</v>
      </c>
      <c r="C27" s="11" t="str">
        <f aca="false">IF(C26="","",IFERROR(C26/C25-1,""))</f>
        <v/>
      </c>
      <c r="D27" s="11" t="str">
        <f aca="false">IF(D26="","",IFERROR(D26/D25-1,""))</f>
        <v/>
      </c>
      <c r="E27" s="11" t="str">
        <f aca="false">IF(E26="","",IFERROR(E26/E25-1,""))</f>
        <v/>
      </c>
      <c r="F27" s="11" t="str">
        <f aca="false">IF(F26="","",IFERROR(F26/F25-1,""))</f>
        <v/>
      </c>
      <c r="G27" s="11" t="str">
        <f aca="false">IF(G26="","",IFERROR(G26/G25-1,""))</f>
        <v/>
      </c>
      <c r="H27" s="11" t="str">
        <f aca="false">IF(H26="","",IFERROR(H26/H25-1,""))</f>
        <v/>
      </c>
      <c r="I27" s="11" t="str">
        <f aca="false">IF(I26="","",IFERROR(I26/I25-1,""))</f>
        <v/>
      </c>
      <c r="J27" s="11" t="str">
        <f aca="false">IF(J26="","",IFERROR(J26/J25-1,""))</f>
        <v/>
      </c>
      <c r="K27" s="11" t="str">
        <f aca="false">IF(K26="","",IFERROR(K26/K25-1,""))</f>
        <v/>
      </c>
      <c r="L27" s="11" t="str">
        <f aca="false">IF(L26="","",IFERROR(L26/L25-1,""))</f>
        <v/>
      </c>
      <c r="M27" s="11" t="str">
        <f aca="false">IF(M26="","",IFERROR(M26/M25-1,""))</f>
        <v/>
      </c>
      <c r="N27" s="11" t="str">
        <f aca="false">IF(N26="","",IFERROR(N26/N25-1,""))</f>
        <v/>
      </c>
    </row>
    <row r="28" customFormat="false" ht="15" hidden="false" customHeight="false" outlineLevel="0" collapsed="false">
      <c r="A28" s="2" t="s">
        <v>52</v>
      </c>
      <c r="B28" s="4" t="s">
        <v>30</v>
      </c>
      <c r="C28" s="12" t="n">
        <v>0</v>
      </c>
      <c r="D28" s="12" t="n">
        <v>7520</v>
      </c>
      <c r="E28" s="12" t="n">
        <v>26320</v>
      </c>
      <c r="F28" s="12" t="n">
        <v>56400</v>
      </c>
      <c r="G28" s="12" t="n">
        <v>114540</v>
      </c>
      <c r="H28" s="12" t="n">
        <v>159360</v>
      </c>
      <c r="I28" s="12" t="n">
        <v>204180</v>
      </c>
      <c r="J28" s="12" t="n">
        <v>249000</v>
      </c>
      <c r="K28" s="12" t="n">
        <v>402323</v>
      </c>
      <c r="L28" s="12" t="n">
        <v>505951</v>
      </c>
      <c r="M28" s="12" t="n">
        <v>615676</v>
      </c>
      <c r="N28" s="12" t="n">
        <v>731496</v>
      </c>
    </row>
    <row r="29" customFormat="false" ht="15" hidden="false" customHeight="false" outlineLevel="0" collapsed="false">
      <c r="A29" s="2" t="s">
        <v>53</v>
      </c>
      <c r="B29" s="13" t="n">
        <v>15000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customFormat="false" ht="15" hidden="false" customHeight="false" outlineLevel="0" collapsed="false">
      <c r="A30" s="3" t="s">
        <v>54</v>
      </c>
      <c r="C30" s="11" t="str">
        <f aca="false">IF(C29="","",IFERROR(C29/C28-1,""))</f>
        <v/>
      </c>
      <c r="D30" s="11" t="str">
        <f aca="false">IF(D29="","",IFERROR(D29/D28-1,""))</f>
        <v/>
      </c>
      <c r="E30" s="11" t="str">
        <f aca="false">IF(E29="","",IFERROR(E29/E28-1,""))</f>
        <v/>
      </c>
      <c r="F30" s="11" t="str">
        <f aca="false">IF(F29="","",IFERROR(F29/F28-1,""))</f>
        <v/>
      </c>
      <c r="G30" s="11" t="str">
        <f aca="false">IF(G29="","",IFERROR(G29/G28-1,""))</f>
        <v/>
      </c>
      <c r="H30" s="11" t="str">
        <f aca="false">IF(H29="","",IFERROR(H29/H28-1,""))</f>
        <v/>
      </c>
      <c r="I30" s="11" t="str">
        <f aca="false">IF(I29="","",IFERROR(I29/I28-1,""))</f>
        <v/>
      </c>
      <c r="J30" s="11" t="str">
        <f aca="false">IF(J29="","",IFERROR(J29/J28-1,""))</f>
        <v/>
      </c>
      <c r="K30" s="11" t="str">
        <f aca="false">IF(K29="","",IFERROR(K29/K28-1,""))</f>
        <v/>
      </c>
      <c r="L30" s="11" t="str">
        <f aca="false">IF(L29="","",IFERROR(L29/L28-1,""))</f>
        <v/>
      </c>
      <c r="M30" s="11" t="str">
        <f aca="false">IF(M29="","",IFERROR(M29/M28-1,""))</f>
        <v/>
      </c>
      <c r="N30" s="11" t="str">
        <f aca="false">IF(N29="","",IFERROR(N29/N28-1,""))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14" min="3" style="0" width="10.5"/>
  </cols>
  <sheetData>
    <row r="1" customFormat="false" ht="16.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3" t="s">
        <v>14</v>
      </c>
    </row>
    <row r="3" customFormat="false" ht="15" hidden="false" customHeight="false" outlineLevel="0" collapsed="false">
      <c r="B3" s="4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</row>
    <row r="4" customFormat="false" ht="15" hidden="false" customHeight="false" outlineLevel="0" collapsed="false">
      <c r="A4" s="6" t="s">
        <v>56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5" hidden="false" customHeight="false" outlineLevel="0" collapsed="false">
      <c r="A5" s="2" t="s">
        <v>57</v>
      </c>
      <c r="B5" s="4" t="s">
        <v>30</v>
      </c>
      <c r="C5" s="15" t="n">
        <v>0.22</v>
      </c>
      <c r="D5" s="15" t="n">
        <v>0.22</v>
      </c>
      <c r="E5" s="15" t="n">
        <v>0.22</v>
      </c>
      <c r="F5" s="15" t="n">
        <v>0.22</v>
      </c>
      <c r="G5" s="15" t="n">
        <v>0.22</v>
      </c>
      <c r="H5" s="15" t="n">
        <v>0.22</v>
      </c>
      <c r="I5" s="15" t="n">
        <v>0.22</v>
      </c>
      <c r="J5" s="15" t="n">
        <v>0.22</v>
      </c>
      <c r="K5" s="15" t="n">
        <v>0.22</v>
      </c>
      <c r="L5" s="15" t="n">
        <v>0.22</v>
      </c>
      <c r="M5" s="15" t="n">
        <v>0.22</v>
      </c>
      <c r="N5" s="15" t="n">
        <v>0.22</v>
      </c>
    </row>
    <row r="6" customFormat="false" ht="15" hidden="false" customHeight="false" outlineLevel="0" collapsed="false">
      <c r="A6" s="2" t="s">
        <v>58</v>
      </c>
      <c r="B6" s="16" t="n">
        <v>0.24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customFormat="false" ht="15" hidden="false" customHeight="false" outlineLevel="0" collapsed="false">
      <c r="A7" s="3" t="s">
        <v>59</v>
      </c>
      <c r="C7" s="11" t="str">
        <f aca="false">IF(C6="","",IFERROR(C6/C5-1,""))</f>
        <v/>
      </c>
      <c r="D7" s="11" t="str">
        <f aca="false">IF(D6="","",IFERROR(D6/D5-1,""))</f>
        <v/>
      </c>
      <c r="E7" s="11" t="str">
        <f aca="false">IF(E6="","",IFERROR(E6/E5-1,""))</f>
        <v/>
      </c>
      <c r="F7" s="11" t="str">
        <f aca="false">IF(F6="","",IFERROR(F6/F5-1,""))</f>
        <v/>
      </c>
      <c r="G7" s="11" t="str">
        <f aca="false">IF(G6="","",IFERROR(G6/G5-1,""))</f>
        <v/>
      </c>
      <c r="H7" s="11" t="str">
        <f aca="false">IF(H6="","",IFERROR(H6/H5-1,""))</f>
        <v/>
      </c>
      <c r="I7" s="11" t="str">
        <f aca="false">IF(I6="","",IFERROR(I6/I5-1,""))</f>
        <v/>
      </c>
      <c r="J7" s="11" t="str">
        <f aca="false">IF(J6="","",IFERROR(J6/J5-1,""))</f>
        <v/>
      </c>
      <c r="K7" s="11" t="str">
        <f aca="false">IF(K6="","",IFERROR(K6/K5-1,""))</f>
        <v/>
      </c>
      <c r="L7" s="11" t="str">
        <f aca="false">IF(L6="","",IFERROR(L6/L5-1,""))</f>
        <v/>
      </c>
      <c r="M7" s="11" t="str">
        <f aca="false">IF(M6="","",IFERROR(M6/M5-1,""))</f>
        <v/>
      </c>
      <c r="N7" s="11" t="str">
        <f aca="false">IF(N6="","",IFERROR(N6/N5-1,""))</f>
        <v/>
      </c>
    </row>
    <row r="8" customFormat="false" ht="15" hidden="false" customHeight="false" outlineLevel="0" collapsed="false">
      <c r="A8" s="2" t="s">
        <v>60</v>
      </c>
      <c r="B8" s="4" t="s">
        <v>30</v>
      </c>
      <c r="C8" s="15" t="n">
        <v>0.5</v>
      </c>
      <c r="D8" s="15" t="n">
        <v>0.5</v>
      </c>
      <c r="E8" s="15" t="n">
        <v>0.5</v>
      </c>
      <c r="F8" s="15" t="n">
        <v>0.5</v>
      </c>
      <c r="G8" s="15" t="n">
        <v>0.5</v>
      </c>
      <c r="H8" s="15" t="n">
        <v>0.5</v>
      </c>
      <c r="I8" s="15" t="n">
        <v>0.5</v>
      </c>
      <c r="J8" s="15" t="n">
        <v>0.5</v>
      </c>
      <c r="K8" s="15" t="n">
        <v>0.5</v>
      </c>
      <c r="L8" s="15" t="n">
        <v>0.5</v>
      </c>
      <c r="M8" s="15" t="n">
        <v>0.5</v>
      </c>
      <c r="N8" s="15" t="n">
        <v>0.5</v>
      </c>
    </row>
    <row r="9" customFormat="false" ht="15" hidden="false" customHeight="false" outlineLevel="0" collapsed="false">
      <c r="A9" s="2" t="s">
        <v>61</v>
      </c>
      <c r="B9" s="16" t="n">
        <v>0.55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customFormat="false" ht="15" hidden="false" customHeight="false" outlineLevel="0" collapsed="false">
      <c r="A10" s="3" t="s">
        <v>62</v>
      </c>
      <c r="C10" s="11" t="str">
        <f aca="false">IF(C9="","",IFERROR(C9/C8-1,""))</f>
        <v/>
      </c>
      <c r="D10" s="11" t="str">
        <f aca="false">IF(D9="","",IFERROR(D9/D8-1,""))</f>
        <v/>
      </c>
      <c r="E10" s="11" t="str">
        <f aca="false">IF(E9="","",IFERROR(E9/E8-1,""))</f>
        <v/>
      </c>
      <c r="F10" s="11" t="str">
        <f aca="false">IF(F9="","",IFERROR(F9/F8-1,""))</f>
        <v/>
      </c>
      <c r="G10" s="11" t="str">
        <f aca="false">IF(G9="","",IFERROR(G9/G8-1,""))</f>
        <v/>
      </c>
      <c r="H10" s="11" t="str">
        <f aca="false">IF(H9="","",IFERROR(H9/H8-1,""))</f>
        <v/>
      </c>
      <c r="I10" s="11" t="str">
        <f aca="false">IF(I9="","",IFERROR(I9/I8-1,""))</f>
        <v/>
      </c>
      <c r="J10" s="11" t="str">
        <f aca="false">IF(J9="","",IFERROR(J9/J8-1,""))</f>
        <v/>
      </c>
      <c r="K10" s="11" t="str">
        <f aca="false">IF(K9="","",IFERROR(K9/K8-1,""))</f>
        <v/>
      </c>
      <c r="L10" s="11" t="str">
        <f aca="false">IF(L9="","",IFERROR(L9/L8-1,""))</f>
        <v/>
      </c>
      <c r="M10" s="11" t="str">
        <f aca="false">IF(M9="","",IFERROR(M9/M8-1,""))</f>
        <v/>
      </c>
      <c r="N10" s="11" t="str">
        <f aca="false">IF(N9="","",IFERROR(N9/N8-1,""))</f>
        <v/>
      </c>
    </row>
    <row r="12" customFormat="false" ht="15" hidden="false" customHeight="false" outlineLevel="0" collapsed="false">
      <c r="A12" s="6" t="s">
        <v>63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A13" s="2" t="s">
        <v>64</v>
      </c>
      <c r="B13" s="4" t="s">
        <v>30</v>
      </c>
      <c r="C13" s="8" t="n">
        <v>30</v>
      </c>
      <c r="D13" s="8" t="n">
        <v>30</v>
      </c>
      <c r="E13" s="8" t="n">
        <v>30</v>
      </c>
      <c r="F13" s="8" t="n">
        <v>30</v>
      </c>
      <c r="G13" s="8" t="n">
        <v>30</v>
      </c>
      <c r="H13" s="8" t="n">
        <v>30</v>
      </c>
      <c r="I13" s="8" t="n">
        <v>30</v>
      </c>
      <c r="J13" s="8" t="n">
        <v>30</v>
      </c>
      <c r="K13" s="8" t="n">
        <v>30</v>
      </c>
      <c r="L13" s="8" t="n">
        <v>30</v>
      </c>
      <c r="M13" s="8" t="n">
        <v>30</v>
      </c>
      <c r="N13" s="8" t="n">
        <v>30</v>
      </c>
    </row>
    <row r="14" customFormat="false" ht="15" hidden="false" customHeight="false" outlineLevel="0" collapsed="false">
      <c r="A14" s="2" t="s">
        <v>65</v>
      </c>
      <c r="B14" s="9" t="n">
        <v>42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customFormat="false" ht="15" hidden="false" customHeight="false" outlineLevel="0" collapsed="false">
      <c r="A15" s="3" t="s">
        <v>66</v>
      </c>
      <c r="C15" s="11" t="str">
        <f aca="false">IF(C14="","",IFERROR(C14/C13-1,""))</f>
        <v/>
      </c>
      <c r="D15" s="11" t="str">
        <f aca="false">IF(D14="","",IFERROR(D14/D13-1,""))</f>
        <v/>
      </c>
      <c r="E15" s="11" t="str">
        <f aca="false">IF(E14="","",IFERROR(E14/E13-1,""))</f>
        <v/>
      </c>
      <c r="F15" s="11" t="str">
        <f aca="false">IF(F14="","",IFERROR(F14/F13-1,""))</f>
        <v/>
      </c>
      <c r="G15" s="11" t="str">
        <f aca="false">IF(G14="","",IFERROR(G14/G13-1,""))</f>
        <v/>
      </c>
      <c r="H15" s="11" t="str">
        <f aca="false">IF(H14="","",IFERROR(H14/H13-1,""))</f>
        <v/>
      </c>
      <c r="I15" s="11" t="str">
        <f aca="false">IF(I14="","",IFERROR(I14/I13-1,""))</f>
        <v/>
      </c>
      <c r="J15" s="11" t="str">
        <f aca="false">IF(J14="","",IFERROR(J14/J13-1,""))</f>
        <v/>
      </c>
      <c r="K15" s="11" t="str">
        <f aca="false">IF(K14="","",IFERROR(K14/K13-1,""))</f>
        <v/>
      </c>
      <c r="L15" s="11" t="str">
        <f aca="false">IF(L14="","",IFERROR(L14/L13-1,""))</f>
        <v/>
      </c>
      <c r="M15" s="11" t="str">
        <f aca="false">IF(M14="","",IFERROR(M14/M13-1,""))</f>
        <v/>
      </c>
      <c r="N15" s="11" t="str">
        <f aca="false">IF(N14="","",IFERROR(N14/N13-1,""))</f>
        <v/>
      </c>
    </row>
    <row r="16" customFormat="false" ht="15" hidden="false" customHeight="false" outlineLevel="0" collapsed="false">
      <c r="A16" s="2" t="s">
        <v>67</v>
      </c>
      <c r="B16" s="4" t="s">
        <v>30</v>
      </c>
      <c r="C16" s="8" t="n">
        <v>0</v>
      </c>
      <c r="D16" s="8" t="n">
        <v>26</v>
      </c>
      <c r="E16" s="8" t="n">
        <v>119</v>
      </c>
      <c r="F16" s="8" t="n">
        <v>290</v>
      </c>
      <c r="G16" s="8" t="n">
        <v>578</v>
      </c>
      <c r="H16" s="8" t="n">
        <v>908</v>
      </c>
      <c r="I16" s="8" t="n">
        <v>1204</v>
      </c>
      <c r="J16" s="8" t="n">
        <v>1502</v>
      </c>
      <c r="K16" s="8" t="n">
        <v>2095</v>
      </c>
      <c r="L16" s="8" t="n">
        <v>2868</v>
      </c>
      <c r="M16" s="8" t="n">
        <v>3542</v>
      </c>
      <c r="N16" s="8" t="n">
        <v>4254</v>
      </c>
    </row>
    <row r="17" customFormat="false" ht="15" hidden="false" customHeight="false" outlineLevel="0" collapsed="false">
      <c r="A17" s="2" t="s">
        <v>68</v>
      </c>
      <c r="B17" s="9" t="n">
        <v>105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customFormat="false" ht="15" hidden="false" customHeight="false" outlineLevel="0" collapsed="false">
      <c r="A18" s="3" t="s">
        <v>69</v>
      </c>
      <c r="C18" s="11" t="str">
        <f aca="false">IF(C17="","",IFERROR(C17/C16-1,""))</f>
        <v/>
      </c>
      <c r="D18" s="11" t="str">
        <f aca="false">IF(D17="","",IFERROR(D17/D16-1,""))</f>
        <v/>
      </c>
      <c r="E18" s="11" t="str">
        <f aca="false">IF(E17="","",IFERROR(E17/E16-1,""))</f>
        <v/>
      </c>
      <c r="F18" s="11" t="str">
        <f aca="false">IF(F17="","",IFERROR(F17/F16-1,""))</f>
        <v/>
      </c>
      <c r="G18" s="11" t="str">
        <f aca="false">IF(G17="","",IFERROR(G17/G16-1,""))</f>
        <v/>
      </c>
      <c r="H18" s="11" t="str">
        <f aca="false">IF(H17="","",IFERROR(H17/H16-1,""))</f>
        <v/>
      </c>
      <c r="I18" s="11" t="str">
        <f aca="false">IF(I17="","",IFERROR(I17/I16-1,""))</f>
        <v/>
      </c>
      <c r="J18" s="11" t="str">
        <f aca="false">IF(J17="","",IFERROR(J17/J16-1,""))</f>
        <v/>
      </c>
      <c r="K18" s="11" t="str">
        <f aca="false">IF(K17="","",IFERROR(K17/K16-1,""))</f>
        <v/>
      </c>
      <c r="L18" s="11" t="str">
        <f aca="false">IF(L17="","",IFERROR(L17/L16-1,""))</f>
        <v/>
      </c>
      <c r="M18" s="11" t="str">
        <f aca="false">IF(M17="","",IFERROR(M17/M16-1,""))</f>
        <v/>
      </c>
      <c r="N18" s="11" t="str">
        <f aca="false">IF(N17="","",IFERROR(N17/N16-1,""))</f>
        <v/>
      </c>
    </row>
    <row r="19" customFormat="false" ht="15" hidden="false" customHeight="false" outlineLevel="0" collapsed="false">
      <c r="A19" s="2" t="s">
        <v>70</v>
      </c>
      <c r="B19" s="4" t="s">
        <v>30</v>
      </c>
      <c r="C19" s="8" t="n">
        <v>0</v>
      </c>
      <c r="D19" s="8" t="n">
        <v>3</v>
      </c>
      <c r="E19" s="8" t="n">
        <v>14</v>
      </c>
      <c r="F19" s="8" t="n">
        <v>33</v>
      </c>
      <c r="G19" s="8" t="n">
        <v>109</v>
      </c>
      <c r="H19" s="8" t="n">
        <v>172</v>
      </c>
      <c r="I19" s="8" t="n">
        <v>228</v>
      </c>
      <c r="J19" s="8" t="n">
        <v>284</v>
      </c>
      <c r="K19" s="8" t="n">
        <v>476</v>
      </c>
      <c r="L19" s="8" t="n">
        <v>652</v>
      </c>
      <c r="M19" s="8" t="n">
        <v>805</v>
      </c>
      <c r="N19" s="8" t="n">
        <v>967</v>
      </c>
    </row>
    <row r="20" customFormat="false" ht="15" hidden="false" customHeight="false" outlineLevel="0" collapsed="false">
      <c r="A20" s="2" t="s">
        <v>71</v>
      </c>
      <c r="B20" s="9" t="n">
        <v>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customFormat="false" ht="15" hidden="false" customHeight="false" outlineLevel="0" collapsed="false">
      <c r="A21" s="3" t="s">
        <v>72</v>
      </c>
      <c r="C21" s="11" t="str">
        <f aca="false">IF(C20="","",IFERROR(C20/C19-1,""))</f>
        <v/>
      </c>
      <c r="D21" s="11" t="str">
        <f aca="false">IF(D20="","",IFERROR(D20/D19-1,""))</f>
        <v/>
      </c>
      <c r="E21" s="11" t="str">
        <f aca="false">IF(E20="","",IFERROR(E20/E19-1,""))</f>
        <v/>
      </c>
      <c r="F21" s="11" t="str">
        <f aca="false">IF(F20="","",IFERROR(F20/F19-1,""))</f>
        <v/>
      </c>
      <c r="G21" s="11" t="str">
        <f aca="false">IF(G20="","",IFERROR(G20/G19-1,""))</f>
        <v/>
      </c>
      <c r="H21" s="11" t="str">
        <f aca="false">IF(H20="","",IFERROR(H20/H19-1,""))</f>
        <v/>
      </c>
      <c r="I21" s="11" t="str">
        <f aca="false">IF(I20="","",IFERROR(I20/I19-1,""))</f>
        <v/>
      </c>
      <c r="J21" s="11" t="str">
        <f aca="false">IF(J20="","",IFERROR(J20/J19-1,""))</f>
        <v/>
      </c>
      <c r="K21" s="11" t="str">
        <f aca="false">IF(K20="","",IFERROR(K20/K19-1,""))</f>
        <v/>
      </c>
      <c r="L21" s="11" t="str">
        <f aca="false">IF(L20="","",IFERROR(L20/L19-1,""))</f>
        <v/>
      </c>
      <c r="M21" s="11" t="str">
        <f aca="false">IF(M20="","",IFERROR(M20/M19-1,""))</f>
        <v/>
      </c>
      <c r="N21" s="11" t="str">
        <f aca="false">IF(N20="","",IFERROR(N20/N19-1,""))</f>
        <v/>
      </c>
    </row>
    <row r="22" customFormat="false" ht="15" hidden="false" customHeight="false" outlineLevel="0" collapsed="false">
      <c r="A22" s="2" t="s">
        <v>73</v>
      </c>
      <c r="B22" s="4" t="s">
        <v>30</v>
      </c>
      <c r="C22" s="8" t="n">
        <v>0</v>
      </c>
      <c r="D22" s="8" t="n">
        <v>13</v>
      </c>
      <c r="E22" s="8" t="n">
        <v>59</v>
      </c>
      <c r="F22" s="8" t="n">
        <v>145</v>
      </c>
      <c r="G22" s="8" t="n">
        <v>289</v>
      </c>
      <c r="H22" s="8" t="n">
        <v>454</v>
      </c>
      <c r="I22" s="8" t="n">
        <v>602</v>
      </c>
      <c r="J22" s="8" t="n">
        <v>751</v>
      </c>
      <c r="K22" s="8" t="n">
        <v>1048</v>
      </c>
      <c r="L22" s="8" t="n">
        <v>1434</v>
      </c>
      <c r="M22" s="8" t="n">
        <v>1771</v>
      </c>
      <c r="N22" s="8" t="n">
        <v>2127</v>
      </c>
    </row>
    <row r="23" customFormat="false" ht="15" hidden="false" customHeight="false" outlineLevel="0" collapsed="false">
      <c r="A23" s="2" t="s">
        <v>74</v>
      </c>
      <c r="B23" s="9" t="n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customFormat="false" ht="15" hidden="false" customHeight="false" outlineLevel="0" collapsed="false">
      <c r="A24" s="3" t="s">
        <v>75</v>
      </c>
      <c r="C24" s="11" t="str">
        <f aca="false">IF(C23="","",IFERROR(C23/C22-1,""))</f>
        <v/>
      </c>
      <c r="D24" s="11" t="str">
        <f aca="false">IF(D23="","",IFERROR(D23/D22-1,""))</f>
        <v/>
      </c>
      <c r="E24" s="11" t="str">
        <f aca="false">IF(E23="","",IFERROR(E23/E22-1,""))</f>
        <v/>
      </c>
      <c r="F24" s="11" t="str">
        <f aca="false">IF(F23="","",IFERROR(F23/F22-1,""))</f>
        <v/>
      </c>
      <c r="G24" s="11" t="str">
        <f aca="false">IF(G23="","",IFERROR(G23/G22-1,""))</f>
        <v/>
      </c>
      <c r="H24" s="11" t="str">
        <f aca="false">IF(H23="","",IFERROR(H23/H22-1,""))</f>
        <v/>
      </c>
      <c r="I24" s="11" t="str">
        <f aca="false">IF(I23="","",IFERROR(I23/I22-1,""))</f>
        <v/>
      </c>
      <c r="J24" s="11" t="str">
        <f aca="false">IF(J23="","",IFERROR(J23/J22-1,""))</f>
        <v/>
      </c>
      <c r="K24" s="11" t="str">
        <f aca="false">IF(K23="","",IFERROR(K23/K22-1,""))</f>
        <v/>
      </c>
      <c r="L24" s="11" t="str">
        <f aca="false">IF(L23="","",IFERROR(L23/L22-1,""))</f>
        <v/>
      </c>
      <c r="M24" s="11" t="str">
        <f aca="false">IF(M23="","",IFERROR(M23/M22-1,""))</f>
        <v/>
      </c>
      <c r="N24" s="11" t="str">
        <f aca="false">IF(N23="","",IFERROR(N23/N22-1,""))</f>
        <v/>
      </c>
    </row>
    <row r="26" customFormat="false" ht="15" hidden="false" customHeight="false" outlineLevel="0" collapsed="false">
      <c r="A26" s="6" t="s">
        <v>76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5" hidden="false" customHeight="false" outlineLevel="0" collapsed="false">
      <c r="A27" s="2" t="s">
        <v>77</v>
      </c>
      <c r="B27" s="4" t="s">
        <v>30</v>
      </c>
      <c r="C27" s="15" t="n">
        <v>0.6</v>
      </c>
      <c r="D27" s="15" t="n">
        <v>0.6</v>
      </c>
      <c r="E27" s="15" t="n">
        <v>0.6</v>
      </c>
      <c r="F27" s="15" t="n">
        <v>0.6</v>
      </c>
      <c r="G27" s="15" t="n">
        <v>0.6</v>
      </c>
      <c r="H27" s="15" t="n">
        <v>0.6</v>
      </c>
      <c r="I27" s="15" t="n">
        <v>0.6</v>
      </c>
      <c r="J27" s="15" t="n">
        <v>0.6</v>
      </c>
      <c r="K27" s="15" t="n">
        <v>0.6</v>
      </c>
      <c r="L27" s="15" t="n">
        <v>0.6</v>
      </c>
      <c r="M27" s="15" t="n">
        <v>0.6</v>
      </c>
      <c r="N27" s="15" t="n">
        <v>0.6</v>
      </c>
    </row>
    <row r="28" customFormat="false" ht="15" hidden="false" customHeight="false" outlineLevel="0" collapsed="false">
      <c r="A28" s="2" t="s">
        <v>78</v>
      </c>
      <c r="B28" s="16" t="n">
        <v>0.67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customFormat="false" ht="15" hidden="false" customHeight="false" outlineLevel="0" collapsed="false">
      <c r="A29" s="3" t="s">
        <v>79</v>
      </c>
      <c r="C29" s="11" t="str">
        <f aca="false">IF(C28="","",IFERROR(C28/C27-1,""))</f>
        <v/>
      </c>
      <c r="D29" s="11" t="str">
        <f aca="false">IF(D28="","",IFERROR(D28/D27-1,""))</f>
        <v/>
      </c>
      <c r="E29" s="11" t="str">
        <f aca="false">IF(E28="","",IFERROR(E28/E27-1,""))</f>
        <v/>
      </c>
      <c r="F29" s="11" t="str">
        <f aca="false">IF(F28="","",IFERROR(F28/F27-1,""))</f>
        <v/>
      </c>
      <c r="G29" s="11" t="str">
        <f aca="false">IF(G28="","",IFERROR(G28/G27-1,""))</f>
        <v/>
      </c>
      <c r="H29" s="11" t="str">
        <f aca="false">IF(H28="","",IFERROR(H28/H27-1,""))</f>
        <v/>
      </c>
      <c r="I29" s="11" t="str">
        <f aca="false">IF(I28="","",IFERROR(I28/I27-1,""))</f>
        <v/>
      </c>
      <c r="J29" s="11" t="str">
        <f aca="false">IF(J28="","",IFERROR(J28/J27-1,""))</f>
        <v/>
      </c>
      <c r="K29" s="11" t="str">
        <f aca="false">IF(K28="","",IFERROR(K28/K27-1,""))</f>
        <v/>
      </c>
      <c r="L29" s="11" t="str">
        <f aca="false">IF(L28="","",IFERROR(L28/L27-1,""))</f>
        <v/>
      </c>
      <c r="M29" s="11" t="str">
        <f aca="false">IF(M28="","",IFERROR(M28/M27-1,""))</f>
        <v/>
      </c>
      <c r="N29" s="11" t="str">
        <f aca="false">IF(N28="","",IFERROR(N28/N27-1,""))</f>
        <v/>
      </c>
    </row>
    <row r="30" customFormat="false" ht="15" hidden="false" customHeight="false" outlineLevel="0" collapsed="false">
      <c r="A30" s="2" t="s">
        <v>80</v>
      </c>
      <c r="B30" s="4" t="s">
        <v>30</v>
      </c>
      <c r="C30" s="15" t="n">
        <v>1</v>
      </c>
      <c r="D30" s="15" t="n">
        <v>1</v>
      </c>
      <c r="E30" s="15" t="n">
        <v>1</v>
      </c>
      <c r="F30" s="15" t="n">
        <v>1</v>
      </c>
      <c r="G30" s="15" t="n">
        <v>1</v>
      </c>
      <c r="H30" s="15" t="n">
        <v>1</v>
      </c>
      <c r="I30" s="15" t="n">
        <v>1</v>
      </c>
      <c r="J30" s="15" t="n">
        <v>1</v>
      </c>
      <c r="K30" s="15" t="n">
        <v>1</v>
      </c>
      <c r="L30" s="15" t="n">
        <v>1</v>
      </c>
      <c r="M30" s="15" t="n">
        <v>1</v>
      </c>
      <c r="N30" s="15" t="n">
        <v>1</v>
      </c>
    </row>
    <row r="31" customFormat="false" ht="15" hidden="false" customHeight="false" outlineLevel="0" collapsed="false">
      <c r="A31" s="2" t="s">
        <v>81</v>
      </c>
      <c r="B31" s="16" t="n">
        <v>1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customFormat="false" ht="15" hidden="false" customHeight="false" outlineLevel="0" collapsed="false">
      <c r="A32" s="3" t="s">
        <v>82</v>
      </c>
      <c r="C32" s="11" t="str">
        <f aca="false">IF(C31="","",IFERROR(C31/C30-1,""))</f>
        <v/>
      </c>
      <c r="D32" s="11" t="str">
        <f aca="false">IF(D31="","",IFERROR(D31/D30-1,""))</f>
        <v/>
      </c>
      <c r="E32" s="11" t="str">
        <f aca="false">IF(E31="","",IFERROR(E31/E30-1,""))</f>
        <v/>
      </c>
      <c r="F32" s="11" t="str">
        <f aca="false">IF(F31="","",IFERROR(F31/F30-1,""))</f>
        <v/>
      </c>
      <c r="G32" s="11" t="str">
        <f aca="false">IF(G31="","",IFERROR(G31/G30-1,""))</f>
        <v/>
      </c>
      <c r="H32" s="11" t="str">
        <f aca="false">IF(H31="","",IFERROR(H31/H30-1,""))</f>
        <v/>
      </c>
      <c r="I32" s="11" t="str">
        <f aca="false">IF(I31="","",IFERROR(I31/I30-1,""))</f>
        <v/>
      </c>
      <c r="J32" s="11" t="str">
        <f aca="false">IF(J31="","",IFERROR(J31/J30-1,""))</f>
        <v/>
      </c>
      <c r="K32" s="11" t="str">
        <f aca="false">IF(K31="","",IFERROR(K31/K30-1,""))</f>
        <v/>
      </c>
      <c r="L32" s="11" t="str">
        <f aca="false">IF(L31="","",IFERROR(L31/L30-1,""))</f>
        <v/>
      </c>
      <c r="M32" s="11" t="str">
        <f aca="false">IF(M31="","",IFERROR(M31/M30-1,""))</f>
        <v/>
      </c>
      <c r="N32" s="11" t="str">
        <f aca="false">IF(N31="","",IFERROR(N31/N30-1,""))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14" min="3" style="0" width="10.5"/>
  </cols>
  <sheetData>
    <row r="1" customFormat="false" ht="16.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3" t="s">
        <v>14</v>
      </c>
    </row>
    <row r="3" customFormat="false" ht="15" hidden="false" customHeight="false" outlineLevel="0" collapsed="false">
      <c r="B3" s="4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</row>
    <row r="4" customFormat="false" ht="15" hidden="false" customHeight="false" outlineLevel="0" collapsed="false">
      <c r="A4" s="6" t="s">
        <v>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5" hidden="false" customHeight="false" outlineLevel="0" collapsed="false">
      <c r="A5" s="2" t="s">
        <v>85</v>
      </c>
      <c r="B5" s="4" t="s">
        <v>30</v>
      </c>
      <c r="C5" s="12" t="n">
        <v>0</v>
      </c>
      <c r="D5" s="12" t="n">
        <v>90240</v>
      </c>
      <c r="E5" s="12" t="n">
        <v>315840</v>
      </c>
      <c r="F5" s="12" t="n">
        <v>676800</v>
      </c>
      <c r="G5" s="12" t="n">
        <v>1374480</v>
      </c>
      <c r="H5" s="12" t="n">
        <v>1912320</v>
      </c>
      <c r="I5" s="12" t="n">
        <v>2450160</v>
      </c>
      <c r="J5" s="12" t="n">
        <v>2988000</v>
      </c>
      <c r="K5" s="12" t="n">
        <v>4827872</v>
      </c>
      <c r="L5" s="12" t="n">
        <v>6071415</v>
      </c>
      <c r="M5" s="12" t="n">
        <v>7388108</v>
      </c>
      <c r="N5" s="12" t="n">
        <v>8777950</v>
      </c>
    </row>
    <row r="6" customFormat="false" ht="15" hidden="false" customHeight="false" outlineLevel="0" collapsed="false">
      <c r="A6" s="2" t="s">
        <v>86</v>
      </c>
      <c r="B6" s="13" t="n">
        <v>180000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customFormat="false" ht="15" hidden="false" customHeight="false" outlineLevel="0" collapsed="false">
      <c r="A7" s="3" t="s">
        <v>87</v>
      </c>
      <c r="C7" s="11" t="str">
        <f aca="false">IF(C6="","",IFERROR(C6/C5-1,""))</f>
        <v/>
      </c>
      <c r="D7" s="11" t="str">
        <f aca="false">IF(D6="","",IFERROR(D6/D5-1,""))</f>
        <v/>
      </c>
      <c r="E7" s="11" t="str">
        <f aca="false">IF(E6="","",IFERROR(E6/E5-1,""))</f>
        <v/>
      </c>
      <c r="F7" s="11" t="str">
        <f aca="false">IF(F6="","",IFERROR(F6/F5-1,""))</f>
        <v/>
      </c>
      <c r="G7" s="11" t="str">
        <f aca="false">IF(G6="","",IFERROR(G6/G5-1,""))</f>
        <v/>
      </c>
      <c r="H7" s="11" t="str">
        <f aca="false">IF(H6="","",IFERROR(H6/H5-1,""))</f>
        <v/>
      </c>
      <c r="I7" s="11" t="str">
        <f aca="false">IF(I6="","",IFERROR(I6/I5-1,""))</f>
        <v/>
      </c>
      <c r="J7" s="11" t="str">
        <f aca="false">IF(J6="","",IFERROR(J6/J5-1,""))</f>
        <v/>
      </c>
      <c r="K7" s="11" t="str">
        <f aca="false">IF(K6="","",IFERROR(K6/K5-1,""))</f>
        <v/>
      </c>
      <c r="L7" s="11" t="str">
        <f aca="false">IF(L6="","",IFERROR(L6/L5-1,""))</f>
        <v/>
      </c>
      <c r="M7" s="11" t="str">
        <f aca="false">IF(M6="","",IFERROR(M6/M5-1,""))</f>
        <v/>
      </c>
      <c r="N7" s="11" t="str">
        <f aca="false">IF(N6="","",IFERROR(N6/N5-1,""))</f>
        <v/>
      </c>
    </row>
    <row r="8" customFormat="false" ht="15" hidden="false" customHeight="false" outlineLevel="0" collapsed="false">
      <c r="A8" s="2" t="s">
        <v>88</v>
      </c>
      <c r="B8" s="4" t="s">
        <v>30</v>
      </c>
      <c r="C8" s="15" t="n">
        <v>0</v>
      </c>
      <c r="D8" s="15" t="n">
        <v>0.861</v>
      </c>
      <c r="E8" s="15" t="n">
        <v>0.838</v>
      </c>
      <c r="F8" s="15" t="n">
        <v>0.825</v>
      </c>
      <c r="G8" s="15" t="n">
        <v>0.811</v>
      </c>
      <c r="H8" s="15" t="n">
        <v>0.805</v>
      </c>
      <c r="I8" s="15" t="n">
        <v>0.802</v>
      </c>
      <c r="J8" s="15" t="n">
        <v>0.801</v>
      </c>
      <c r="K8" s="15" t="n">
        <v>0.806</v>
      </c>
      <c r="L8" s="15" t="n">
        <v>0.803</v>
      </c>
      <c r="M8" s="15" t="n">
        <v>0.801</v>
      </c>
      <c r="N8" s="15" t="n">
        <v>0.801</v>
      </c>
    </row>
    <row r="9" customFormat="false" ht="15" hidden="false" customHeight="false" outlineLevel="0" collapsed="false">
      <c r="A9" s="2" t="s">
        <v>89</v>
      </c>
      <c r="B9" s="16" t="n">
        <v>0.81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customFormat="false" ht="15" hidden="false" customHeight="false" outlineLevel="0" collapsed="false">
      <c r="A10" s="3" t="s">
        <v>90</v>
      </c>
      <c r="C10" s="11" t="str">
        <f aca="false">IF(C9="","",IFERROR(C9/C8-1,""))</f>
        <v/>
      </c>
      <c r="D10" s="11" t="str">
        <f aca="false">IF(D9="","",IFERROR(D9/D8-1,""))</f>
        <v/>
      </c>
      <c r="E10" s="11" t="str">
        <f aca="false">IF(E9="","",IFERROR(E9/E8-1,""))</f>
        <v/>
      </c>
      <c r="F10" s="11" t="str">
        <f aca="false">IF(F9="","",IFERROR(F9/F8-1,""))</f>
        <v/>
      </c>
      <c r="G10" s="11" t="str">
        <f aca="false">IF(G9="","",IFERROR(G9/G8-1,""))</f>
        <v/>
      </c>
      <c r="H10" s="11" t="str">
        <f aca="false">IF(H9="","",IFERROR(H9/H8-1,""))</f>
        <v/>
      </c>
      <c r="I10" s="11" t="str">
        <f aca="false">IF(I9="","",IFERROR(I9/I8-1,""))</f>
        <v/>
      </c>
      <c r="J10" s="11" t="str">
        <f aca="false">IF(J9="","",IFERROR(J9/J8-1,""))</f>
        <v/>
      </c>
      <c r="K10" s="11" t="str">
        <f aca="false">IF(K9="","",IFERROR(K9/K8-1,""))</f>
        <v/>
      </c>
      <c r="L10" s="11" t="str">
        <f aca="false">IF(L9="","",IFERROR(L9/L8-1,""))</f>
        <v/>
      </c>
      <c r="M10" s="11" t="str">
        <f aca="false">IF(M9="","",IFERROR(M9/M8-1,""))</f>
        <v/>
      </c>
      <c r="N10" s="11" t="str">
        <f aca="false">IF(N9="","",IFERROR(N9/N8-1,""))</f>
        <v/>
      </c>
    </row>
    <row r="12" customFormat="false" ht="15" hidden="false" customHeight="false" outlineLevel="0" collapsed="false">
      <c r="A12" s="6" t="s">
        <v>91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A13" s="2" t="s">
        <v>92</v>
      </c>
      <c r="B13" s="4" t="s">
        <v>30</v>
      </c>
      <c r="C13" s="12" t="n">
        <v>-182185</v>
      </c>
      <c r="D13" s="12" t="n">
        <v>-166676</v>
      </c>
      <c r="E13" s="12" t="n">
        <v>-125001</v>
      </c>
      <c r="F13" s="12" t="n">
        <v>-55710</v>
      </c>
      <c r="G13" s="12" t="n">
        <v>-219115</v>
      </c>
      <c r="H13" s="12" t="n">
        <v>-94681</v>
      </c>
      <c r="I13" s="12" t="n">
        <v>13764</v>
      </c>
      <c r="J13" s="12" t="n">
        <v>126148</v>
      </c>
      <c r="K13" s="12" t="n">
        <v>66555</v>
      </c>
      <c r="L13" s="12" t="n">
        <v>363410</v>
      </c>
      <c r="M13" s="12" t="n">
        <v>622824</v>
      </c>
      <c r="N13" s="12" t="n">
        <v>901396</v>
      </c>
    </row>
    <row r="14" customFormat="false" ht="15" hidden="false" customHeight="false" outlineLevel="0" collapsed="false">
      <c r="A14" s="2" t="s">
        <v>93</v>
      </c>
      <c r="B14" s="13" t="n">
        <v>-150000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15" hidden="false" customHeight="false" outlineLevel="0" collapsed="false">
      <c r="A15" s="3" t="s">
        <v>94</v>
      </c>
      <c r="C15" s="11" t="str">
        <f aca="false">IF(C14="","",IFERROR(C14/C13-1,""))</f>
        <v/>
      </c>
      <c r="D15" s="11" t="str">
        <f aca="false">IF(D14="","",IFERROR(D14/D13-1,""))</f>
        <v/>
      </c>
      <c r="E15" s="11" t="str">
        <f aca="false">IF(E14="","",IFERROR(E14/E13-1,""))</f>
        <v/>
      </c>
      <c r="F15" s="11" t="str">
        <f aca="false">IF(F14="","",IFERROR(F14/F13-1,""))</f>
        <v/>
      </c>
      <c r="G15" s="11" t="str">
        <f aca="false">IF(G14="","",IFERROR(G14/G13-1,""))</f>
        <v/>
      </c>
      <c r="H15" s="11" t="str">
        <f aca="false">IF(H14="","",IFERROR(H14/H13-1,""))</f>
        <v/>
      </c>
      <c r="I15" s="11" t="str">
        <f aca="false">IF(I14="","",IFERROR(I14/I13-1,""))</f>
        <v/>
      </c>
      <c r="J15" s="11" t="str">
        <f aca="false">IF(J14="","",IFERROR(J14/J13-1,""))</f>
        <v/>
      </c>
      <c r="K15" s="11" t="str">
        <f aca="false">IF(K14="","",IFERROR(K14/K13-1,""))</f>
        <v/>
      </c>
      <c r="L15" s="11" t="str">
        <f aca="false">IF(L14="","",IFERROR(L14/L13-1,""))</f>
        <v/>
      </c>
      <c r="M15" s="11" t="str">
        <f aca="false">IF(M14="","",IFERROR(M14/M13-1,""))</f>
        <v/>
      </c>
      <c r="N15" s="11" t="str">
        <f aca="false">IF(N14="","",IFERROR(N14/N13-1,""))</f>
        <v/>
      </c>
    </row>
    <row r="16" customFormat="false" ht="15" hidden="false" customHeight="false" outlineLevel="0" collapsed="false">
      <c r="A16" s="2" t="s">
        <v>95</v>
      </c>
      <c r="B16" s="4" t="s">
        <v>30</v>
      </c>
      <c r="C16" s="12" t="n">
        <v>1327815</v>
      </c>
      <c r="D16" s="12" t="n">
        <v>1151139</v>
      </c>
      <c r="E16" s="12" t="n">
        <v>1016138</v>
      </c>
      <c r="F16" s="12" t="n">
        <v>950428</v>
      </c>
      <c r="G16" s="12" t="n">
        <v>715313</v>
      </c>
      <c r="H16" s="12" t="n">
        <v>604632</v>
      </c>
      <c r="I16" s="12" t="n">
        <v>602395</v>
      </c>
      <c r="J16" s="12" t="n">
        <v>712544</v>
      </c>
      <c r="K16" s="12" t="n">
        <v>756098</v>
      </c>
      <c r="L16" s="12" t="n">
        <v>1096508</v>
      </c>
      <c r="M16" s="12" t="n">
        <v>1696332</v>
      </c>
      <c r="N16" s="12" t="n">
        <v>2257046</v>
      </c>
    </row>
    <row r="17" customFormat="false" ht="15" hidden="false" customHeight="false" outlineLevel="0" collapsed="false">
      <c r="A17" s="2" t="s">
        <v>96</v>
      </c>
      <c r="B17" s="13" t="n">
        <v>1300000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customFormat="false" ht="15" hidden="false" customHeight="false" outlineLevel="0" collapsed="false">
      <c r="A18" s="3" t="s">
        <v>97</v>
      </c>
      <c r="C18" s="11" t="str">
        <f aca="false">IF(C17="","",IFERROR(C17/C16-1,""))</f>
        <v/>
      </c>
      <c r="D18" s="11" t="str">
        <f aca="false">IF(D17="","",IFERROR(D17/D16-1,""))</f>
        <v/>
      </c>
      <c r="E18" s="11" t="str">
        <f aca="false">IF(E17="","",IFERROR(E17/E16-1,""))</f>
        <v/>
      </c>
      <c r="F18" s="11" t="str">
        <f aca="false">IF(F17="","",IFERROR(F17/F16-1,""))</f>
        <v/>
      </c>
      <c r="G18" s="11" t="str">
        <f aca="false">IF(G17="","",IFERROR(G17/G16-1,""))</f>
        <v/>
      </c>
      <c r="H18" s="11" t="str">
        <f aca="false">IF(H17="","",IFERROR(H17/H16-1,""))</f>
        <v/>
      </c>
      <c r="I18" s="11" t="str">
        <f aca="false">IF(I17="","",IFERROR(I17/I16-1,""))</f>
        <v/>
      </c>
      <c r="J18" s="11" t="str">
        <f aca="false">IF(J17="","",IFERROR(J17/J16-1,""))</f>
        <v/>
      </c>
      <c r="K18" s="11" t="str">
        <f aca="false">IF(K17="","",IFERROR(K17/K16-1,""))</f>
        <v/>
      </c>
      <c r="L18" s="11" t="str">
        <f aca="false">IF(L17="","",IFERROR(L17/L16-1,""))</f>
        <v/>
      </c>
      <c r="M18" s="11" t="str">
        <f aca="false">IF(M17="","",IFERROR(M17/M16-1,""))</f>
        <v/>
      </c>
      <c r="N18" s="11" t="str">
        <f aca="false">IF(N17="","",IFERROR(N17/N16-1,""))</f>
        <v/>
      </c>
    </row>
    <row r="19" customFormat="false" ht="15" hidden="false" customHeight="false" outlineLevel="0" collapsed="false">
      <c r="A19" s="2" t="s">
        <v>98</v>
      </c>
      <c r="B19" s="4" t="s">
        <v>30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5" hidden="false" customHeight="false" outlineLevel="0" collapsed="false">
      <c r="A20" s="2" t="s">
        <v>99</v>
      </c>
      <c r="B20" s="9" t="n">
        <v>18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customFormat="false" ht="15" hidden="false" customHeight="false" outlineLevel="0" collapsed="false">
      <c r="A21" s="3" t="s">
        <v>100</v>
      </c>
      <c r="C21" s="11" t="str">
        <f aca="false">IF(C20="","",IFERROR(C20/C19-1,""))</f>
        <v/>
      </c>
      <c r="D21" s="11" t="str">
        <f aca="false">IF(D20="","",IFERROR(D20/D19-1,""))</f>
        <v/>
      </c>
      <c r="E21" s="11" t="str">
        <f aca="false">IF(E20="","",IFERROR(E20/E19-1,""))</f>
        <v/>
      </c>
      <c r="F21" s="11" t="str">
        <f aca="false">IF(F20="","",IFERROR(F20/F19-1,""))</f>
        <v/>
      </c>
      <c r="G21" s="11" t="str">
        <f aca="false">IF(G20="","",IFERROR(G20/G19-1,""))</f>
        <v/>
      </c>
      <c r="H21" s="11" t="str">
        <f aca="false">IF(H20="","",IFERROR(H20/H19-1,""))</f>
        <v/>
      </c>
      <c r="I21" s="11" t="str">
        <f aca="false">IF(I20="","",IFERROR(I20/I19-1,""))</f>
        <v/>
      </c>
      <c r="J21" s="11" t="str">
        <f aca="false">IF(J20="","",IFERROR(J20/J19-1,""))</f>
        <v/>
      </c>
      <c r="K21" s="11" t="str">
        <f aca="false">IF(K20="","",IFERROR(K20/K19-1,""))</f>
        <v/>
      </c>
      <c r="L21" s="11" t="str">
        <f aca="false">IF(L20="","",IFERROR(L20/L19-1,""))</f>
        <v/>
      </c>
      <c r="M21" s="11" t="str">
        <f aca="false">IF(M20="","",IFERROR(M20/M19-1,""))</f>
        <v/>
      </c>
      <c r="N21" s="11" t="str">
        <f aca="false">IF(N20="","",IFERROR(N20/N19-1,""))</f>
        <v/>
      </c>
    </row>
    <row r="23" customFormat="false" ht="15" hidden="false" customHeight="false" outlineLevel="0" collapsed="false">
      <c r="A23" s="6" t="s">
        <v>101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customFormat="false" ht="15" hidden="false" customHeight="false" outlineLevel="0" collapsed="false">
      <c r="A24" s="2" t="s">
        <v>102</v>
      </c>
      <c r="B24" s="4" t="s">
        <v>30</v>
      </c>
      <c r="C24" s="12"/>
      <c r="D24" s="12"/>
      <c r="E24" s="12"/>
      <c r="F24" s="12" t="n">
        <v>8000</v>
      </c>
      <c r="G24" s="12"/>
      <c r="H24" s="12"/>
      <c r="I24" s="12"/>
      <c r="J24" s="12" t="n">
        <v>18000</v>
      </c>
      <c r="K24" s="12"/>
      <c r="L24" s="12"/>
      <c r="M24" s="12"/>
      <c r="N24" s="12" t="n">
        <v>20600</v>
      </c>
    </row>
    <row r="25" customFormat="false" ht="15" hidden="false" customHeight="false" outlineLevel="0" collapsed="false">
      <c r="A25" s="2" t="s">
        <v>103</v>
      </c>
      <c r="B25" s="13" t="n">
        <v>7500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customFormat="false" ht="15" hidden="false" customHeight="false" outlineLevel="0" collapsed="false">
      <c r="A26" s="3" t="s">
        <v>104</v>
      </c>
      <c r="C26" s="11" t="str">
        <f aca="false">IF(C25="","",IFERROR(C25/C24-1,""))</f>
        <v/>
      </c>
      <c r="D26" s="11" t="str">
        <f aca="false">IF(D25="","",IFERROR(D25/D24-1,""))</f>
        <v/>
      </c>
      <c r="E26" s="11" t="str">
        <f aca="false">IF(E25="","",IFERROR(E25/E24-1,""))</f>
        <v/>
      </c>
      <c r="F26" s="11" t="str">
        <f aca="false">IF(F25="","",IFERROR(F25/F24-1,""))</f>
        <v/>
      </c>
      <c r="G26" s="11" t="str">
        <f aca="false">IF(G25="","",IFERROR(G25/G24-1,""))</f>
        <v/>
      </c>
      <c r="H26" s="11" t="str">
        <f aca="false">IF(H25="","",IFERROR(H25/H24-1,""))</f>
        <v/>
      </c>
      <c r="I26" s="11" t="str">
        <f aca="false">IF(I25="","",IFERROR(I25/I24-1,""))</f>
        <v/>
      </c>
      <c r="J26" s="11" t="str">
        <f aca="false">IF(J25="","",IFERROR(J25/J24-1,""))</f>
        <v/>
      </c>
      <c r="K26" s="11" t="str">
        <f aca="false">IF(K25="","",IFERROR(K25/K24-1,""))</f>
        <v/>
      </c>
      <c r="L26" s="11" t="str">
        <f aca="false">IF(L25="","",IFERROR(L25/L24-1,""))</f>
        <v/>
      </c>
      <c r="M26" s="11" t="str">
        <f aca="false">IF(M25="","",IFERROR(M25/M24-1,""))</f>
        <v/>
      </c>
      <c r="N26" s="11" t="str">
        <f aca="false">IF(N25="","",IFERROR(N25/N24-1,""))</f>
        <v/>
      </c>
    </row>
    <row r="27" customFormat="false" ht="15" hidden="false" customHeight="false" outlineLevel="0" collapsed="false">
      <c r="A27" s="2" t="s">
        <v>105</v>
      </c>
      <c r="B27" s="4" t="s">
        <v>30</v>
      </c>
      <c r="C27" s="8"/>
      <c r="D27" s="8"/>
      <c r="E27" s="8"/>
      <c r="F27" s="8" t="n">
        <v>3</v>
      </c>
      <c r="G27" s="8"/>
      <c r="H27" s="8"/>
      <c r="I27" s="8"/>
      <c r="J27" s="8" t="n">
        <v>5</v>
      </c>
      <c r="K27" s="8"/>
      <c r="L27" s="8"/>
      <c r="M27" s="8"/>
      <c r="N27" s="8" t="n">
        <v>4</v>
      </c>
    </row>
    <row r="28" customFormat="false" ht="15" hidden="false" customHeight="false" outlineLevel="0" collapsed="false">
      <c r="A28" s="2" t="s">
        <v>106</v>
      </c>
      <c r="B28" s="9" t="n">
        <v>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customFormat="false" ht="15" hidden="false" customHeight="false" outlineLevel="0" collapsed="false">
      <c r="A29" s="3" t="s">
        <v>107</v>
      </c>
      <c r="C29" s="11" t="str">
        <f aca="false">IF(C28="","",IFERROR(C28/C27-1,""))</f>
        <v/>
      </c>
      <c r="D29" s="11" t="str">
        <f aca="false">IF(D28="","",IFERROR(D28/D27-1,""))</f>
        <v/>
      </c>
      <c r="E29" s="11" t="str">
        <f aca="false">IF(E28="","",IFERROR(E28/E27-1,""))</f>
        <v/>
      </c>
      <c r="F29" s="11" t="str">
        <f aca="false">IF(F28="","",IFERROR(F28/F27-1,""))</f>
        <v/>
      </c>
      <c r="G29" s="11" t="str">
        <f aca="false">IF(G28="","",IFERROR(G28/G27-1,""))</f>
        <v/>
      </c>
      <c r="H29" s="11" t="str">
        <f aca="false">IF(H28="","",IFERROR(H28/H27-1,""))</f>
        <v/>
      </c>
      <c r="I29" s="11" t="str">
        <f aca="false">IF(I28="","",IFERROR(I28/I27-1,""))</f>
        <v/>
      </c>
      <c r="J29" s="11" t="str">
        <f aca="false">IF(J28="","",IFERROR(J28/J27-1,""))</f>
        <v/>
      </c>
      <c r="K29" s="11" t="str">
        <f aca="false">IF(K28="","",IFERROR(K28/K27-1,""))</f>
        <v/>
      </c>
      <c r="L29" s="11" t="str">
        <f aca="false">IF(L28="","",IFERROR(L28/L27-1,""))</f>
        <v/>
      </c>
      <c r="M29" s="11" t="str">
        <f aca="false">IF(M28="","",IFERROR(M28/M27-1,""))</f>
        <v/>
      </c>
      <c r="N29" s="11" t="str">
        <f aca="false">IF(N28="","",IFERROR(N28/N27-1,""))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2026-08-04T13:31:39Z</dcterms:created>
  <dc:creator>openpyxl</dc:creator>
  <dc:description/>
  <dc:language>en-US</dc:language>
  <cp:lastModifiedBy/>
  <dcterms:modified xsi:type="dcterms:W3CDTF">2026-08-04T13:31:40Z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