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Trimestriel" sheetId="3" state="visible" r:id="rId5"/>
    <sheet name="Compte de résultat" sheetId="4" state="visible" r:id="rId6"/>
    <sheet name="Financement" sheetId="5" state="visible" r:id="rId7"/>
    <sheet name="Seuil de rentabilit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<sst xmlns="http://schemas.openxmlformats.org/spreadsheetml/2006/main" count="267" uniqueCount="251">
  <si>
    <t xml:space="preserve">MODÈLE FINANCIER — BUSINESS PLAN 3 ANS</t>
  </si>
  <si>
    <t xml:space="preserve">Structure : Hypothèses (toutes les entrées) → Trimestriel (moteur de calcul T1-T12) → Compte de résultat →</t>
  </si>
  <si>
    <t xml:space="preserve">Plan de financement → Seuil de rentabilité. Un chiffre modifié dans « Hypothèses » se propage partout.</t>
  </si>
  <si>
    <t xml:space="preserve">Code couleur : BLEU = hypothèse modifiable · NOIR = formule (ne pas écraser) · fond JAUNE = hypothèse clé.</t>
  </si>
  <si>
    <t xml:space="preserve">Unités : montants en € HT sauf mention « k€ » ; salaires en coûts chargés ; ETP = équivalents temps plein moyens.</t>
  </si>
  <si>
    <t xml:space="preserve">Statut des données : toutes les entrées sont des HYPOTHÈSES À VALIDER (colonne Justification), sauf mention</t>
  </si>
  <si>
    <t xml:space="preserve">[FAIT] avec source. Aucun chiffre d'illustration n'entre dans les calculs.</t>
  </si>
  <si>
    <t xml:space="preserve">Choix de modélisation (prudence assumée) :</t>
  </si>
  <si>
    <t xml:space="preserve">  · Le CA est reconnu sur les salariés couverts MOYENS du trimestre (mi-période) — pas d'effet d'annonce ARR.</t>
  </si>
  <si>
    <t xml:space="preserve">  · L'ARR affiché = salariés fin de période × prix moyen × 12 : c'est un run-rate, PAS le CA comptabilisé.</t>
  </si>
  <si>
    <t xml:space="preserve">  · Pilotes : tous les pilotes paient 4 €/salarié/mois pendant 3 mois ; pour les convertis, ces sommes sont</t>
  </si>
  <si>
    <t xml:space="preserve">    déduites du contrat — le modèle ne compte donc en CA pilote que les non-convertis (équivalent comptable).</t>
  </si>
  <si>
    <t xml:space="preserve">  · Trésorerie : facturation trimestrielle d'avance, pas d'hypothèse d'encaissement annuel upfront (prudent).</t>
  </si>
  <si>
    <t xml:space="preserve">  · L'adoption salariés (activation) n'impacte pas le CA facturé (l'employeur paie pour tout l'effectif) mais</t>
  </si>
  <si>
    <t xml:space="preserve">    conditionne le renouvellement : le churn logo (1 client an 2, 5 an 3) suppose le scénario central à ~22 %.</t>
  </si>
  <si>
    <t xml:space="preserve">  · IS : calculé an 3 après imputation des déficits reportables an 1-2, décaissé au T4 an 3 (prudent).</t>
  </si>
  <si>
    <t xml:space="preserve">Contrôles intégrés : lignes « Contrôle » (Trimestriel) et rapprochement trésorerie (Financement).</t>
  </si>
  <si>
    <t xml:space="preserve">HYPOTHÈSES — cellules bleues modifiables</t>
  </si>
  <si>
    <t xml:space="preserve">Justification / statut</t>
  </si>
  <si>
    <t xml:space="preserve">1 · Offre et prix</t>
  </si>
  <si>
    <t xml:space="preserve">Prix Essentiel (€/salarié/mois)</t>
  </si>
  <si>
    <t xml:space="preserve">HYP n°1 à valider — test prix sur 20 DRH. Ancrage : Wellpass 1-20 €/sal/mois (seul benchmark public).</t>
  </si>
  <si>
    <t xml:space="preserve">Prix Patrimoine (€/salarié/mois)</t>
  </si>
  <si>
    <t xml:space="preserve">HYP — haut de gamme QVT : se vend sur le ROI (coût d'un départ &gt;&gt; 15 €/mois).</t>
  </si>
  <si>
    <t xml:space="preserve">Prix pilote (€/salarié/mois — 3 mois, déduit si signature)</t>
  </si>
  <si>
    <t xml:space="preserve">Décision d'offre. Corrige l'ancien « pilote gratuit » des documents Drive.</t>
  </si>
  <si>
    <t xml:space="preserve">Taux de conversion pilote → contrat</t>
  </si>
  <si>
    <t xml:space="preserve">HYP — à mesurer dès les 5 premiers pilotes.</t>
  </si>
  <si>
    <t xml:space="preserve">An 1</t>
  </si>
  <si>
    <t xml:space="preserve">An 2</t>
  </si>
  <si>
    <t xml:space="preserve">An 3</t>
  </si>
  <si>
    <t xml:space="preserve">Part des salariés en offre Patrimoine</t>
  </si>
  <si>
    <t xml:space="preserve">HYP « land &amp; expand » : montée en gamme progressive. L'ancien BP supposait ~45 % dès l'an 1 sans le dire.</t>
  </si>
  <si>
    <t xml:space="preserve">Prix moyen pondéré (€/salarié/mois)</t>
  </si>
  <si>
    <t xml:space="preserve">Formule — 9,40 / 9,96 / 10,45 €.</t>
  </si>
  <si>
    <t xml:space="preserve">2 · Commercial</t>
  </si>
  <si>
    <t xml:space="preserve">Nouveaux clients ETI (bruts)</t>
  </si>
  <si>
    <t xml:space="preserve">Objectif volontariste — voir entonnoir (§3) et Tableaux_De_Bord pour le pilotage.</t>
  </si>
  <si>
    <t xml:space="preserve">Clients perdus (churn logo)</t>
  </si>
  <si>
    <t xml:space="preserve">HYP — rétention logo &gt; 90 %, conditionnée à l'activation (scénario central).</t>
  </si>
  <si>
    <t xml:space="preserve">Clients fin d'année (net)</t>
  </si>
  <si>
    <t xml:space="preserve">Taille moyenne d'un client (salariés)</t>
  </si>
  <si>
    <t xml:space="preserve">HYP — ETI 250-5 000 salariés ; la taille moyenne des comptes croît avec la maturité commerciale.</t>
  </si>
  <si>
    <t xml:space="preserve">Salariés couverts fin d'année</t>
  </si>
  <si>
    <t xml:space="preserve">6 000 / 25 000 / 70 000 — objectifs du socle conservés.</t>
  </si>
  <si>
    <t xml:space="preserve">3 · Entonnoir commercial (taux de passage)</t>
  </si>
  <si>
    <t xml:space="preserve">Comptes travaillés → RDV obtenu</t>
  </si>
  <si>
    <t xml:space="preserve">HYP — outbound LinkedIn + prescripteurs.</t>
  </si>
  <si>
    <t xml:space="preserve">RDV → démo qualifiée</t>
  </si>
  <si>
    <t xml:space="preserve">Démo → pilote</t>
  </si>
  <si>
    <t xml:space="preserve">An 1 : 15 contrats ⇒ 25 pilotes ⇒ 63 démos ⇒ 125 RDV ⇒ 500 comptes travaillés (formules au Seuil).</t>
  </si>
  <si>
    <t xml:space="preserve">4 · Adoption salariés (conditionne le renouvellement, pas le CA facturé)</t>
  </si>
  <si>
    <t xml:space="preserve">Activation à 3 mois — scénario CENTRAL</t>
  </si>
  <si>
    <t xml:space="preserve">Benchmarks 04/08/2026 : RAND ~20 %, EAP digitaux 10-20 %, moyenne Moka.care ~20 % (04_BENCHMARKS.md).</t>
  </si>
  <si>
    <t xml:space="preserve">Activation — scénario BAS (seuil d'alerte)</t>
  </si>
  <si>
    <t xml:space="preserve">Sous ce seuil : plan de relance (sponsoring interne, onboarding, relances managers).</t>
  </si>
  <si>
    <t xml:space="preserve">Activation — scénario HAUT (conditionné)</t>
  </si>
  <si>
    <t xml:space="preserve">Niveau du meilleur client Moka.care. Exige sponsoring DG/managers + onboarding intégré. Ex-hypothèse unique du BP.</t>
  </si>
  <si>
    <t xml:space="preserve">5 · Packs payés par le salarié</t>
  </si>
  <si>
    <t xml:space="preserve">Taux de souscription (% des salariés couverts, par an)</t>
  </si>
  <si>
    <t xml:space="preserve">HYP — packs : consultation 79 € · fiscalité+déclaration 99 € · retraite 149 € · immobilier 179 €.</t>
  </si>
  <si>
    <t xml:space="preserve">Panier moyen (€)</t>
  </si>
  <si>
    <t xml:space="preserve">HYP — mix des 4 packs.</t>
  </si>
  <si>
    <t xml:space="preserve">Reversement expert agréé (% du prix)</t>
  </si>
  <si>
    <t xml:space="preserve">On facture un service, jamais une commission produit ; le CGP est payé à la consultation.</t>
  </si>
  <si>
    <t xml:space="preserve">6 · Coûts variables (COGS)</t>
  </si>
  <si>
    <t xml:space="preserve">Infra, sécurité &amp; coach IA (€/salarié/mois)</t>
  </si>
  <si>
    <t xml:space="preserve">HYP — hébergement UE + inférence IA ; économies d'échelle.</t>
  </si>
  <si>
    <t xml:space="preserve">Support niveau 1 externalisé (€/salarié/mois)</t>
  </si>
  <si>
    <t xml:space="preserve">Coachs humains inclus (€/salarié Patrimoine/mois)</t>
  </si>
  <si>
    <t xml:space="preserve">HYP — consommation ~15 %/an d'une session incluse à ~150 € de coût expert.</t>
  </si>
  <si>
    <t xml:space="preserve">Frais de facturation &amp; paiement (% du CA)</t>
  </si>
  <si>
    <t xml:space="preserve">7 · Équipe (ETP moyens sur l'année, coûts chargés)</t>
  </si>
  <si>
    <t xml:space="preserve">Rôle</t>
  </si>
  <si>
    <t xml:space="preserve">Coût chargé (k€/an)</t>
  </si>
  <si>
    <t xml:space="preserve">ETP An 1</t>
  </si>
  <si>
    <t xml:space="preserve">ETP An 2</t>
  </si>
  <si>
    <t xml:space="preserve">ETP An 3</t>
  </si>
  <si>
    <t xml:space="preserve">Fondatrice (CEO — vente, pilotage)</t>
  </si>
  <si>
    <t xml:space="preserve">VP Sales</t>
  </si>
  <si>
    <t xml:space="preserve">Account executives</t>
  </si>
  <si>
    <t xml:space="preserve">SDR (prospection)</t>
  </si>
  <si>
    <t xml:space="preserve">Customer success (1 CSM / ~20 clients)</t>
  </si>
  <si>
    <t xml:space="preserve">Produit (PM / UX)</t>
  </si>
  <si>
    <t xml:space="preserve">Développeurs internes</t>
  </si>
  <si>
    <t xml:space="preserve">Data / analytics</t>
  </si>
  <si>
    <t xml:space="preserve">Contenu pédagogique</t>
  </si>
  <si>
    <t xml:space="preserve">Conformité / DPO</t>
  </si>
  <si>
    <t xml:space="preserve">Ops / RH / Finance</t>
  </si>
  <si>
    <t xml:space="preserve">Masse salariale (k€/an)</t>
  </si>
  <si>
    <t xml:space="preserve">≈ 259 / 966 / 1 962 k€ — salaires chargés marché 2026, grilles France hors Île-de-France mixtes.</t>
  </si>
  <si>
    <t xml:space="preserve">ETP moyens</t>
  </si>
  <si>
    <t xml:space="preserve">8 · Autres charges fixes (k€/an)</t>
  </si>
  <si>
    <t xml:space="preserve">Studio de développement externalisé</t>
  </si>
  <si>
    <t xml:space="preserve">MVP an 1 en asset-light, internalisation progressive (4 devs an 3).</t>
  </si>
  <si>
    <t xml:space="preserve">Marketing, événements, contenu de marque</t>
  </si>
  <si>
    <t xml:space="preserve">Création de catégorie : ANDRH, salons RH, contenu DRH, RP.</t>
  </si>
  <si>
    <t xml:space="preserve">Commissions prescripteurs (% du CA abonnements)</t>
  </si>
  <si>
    <t xml:space="preserve">HYP — ~25 % du CA apporté par mutuelles/experts-comptables, commission ~15 %.</t>
  </si>
  <si>
    <t xml:space="preserve">Juridique, comptable, conformité externe</t>
  </si>
  <si>
    <t xml:space="preserve">Loyers, outils, assurances, G&amp;A</t>
  </si>
  <si>
    <t xml:space="preserve">Recrutement</t>
  </si>
  <si>
    <t xml:space="preserve">Audit sécurité / pentest</t>
  </si>
  <si>
    <t xml:space="preserve">Crédibilité données financières salariés.</t>
  </si>
  <si>
    <t xml:space="preserve">9 · Financement, capex, divers</t>
  </si>
  <si>
    <t xml:space="preserve">Levée de fonds (encaissée T1 an 1, €)</t>
  </si>
  <si>
    <t xml:space="preserve">Justification au Seuil : besoin identifié ≈ 0,8 M€, scénario prudent ≈ 1,3 M€ → 1,5 M€.</t>
  </si>
  <si>
    <t xml:space="preserve">Apport fondatrice (ante-création, €)</t>
  </si>
  <si>
    <t xml:space="preserve">Prêt d'honneur (€)</t>
  </si>
  <si>
    <t xml:space="preserve">Réseau Entreprendre / Initiative France — à candidater.</t>
  </si>
  <si>
    <t xml:space="preserve">Subvention (Bourse French Tech — à confirmer, €)</t>
  </si>
  <si>
    <t xml:space="preserve">HYP à confirmer — non comptée au compte de résultat (prudence), uniquement en trésorerie/financement.</t>
  </si>
  <si>
    <t xml:space="preserve">Frais ante-création (étude, juridique, marque INPI, maquette, €)</t>
  </si>
  <si>
    <t xml:space="preserve">Capex matériel (€/trimestre)</t>
  </si>
  <si>
    <t xml:space="preserve">Amortissements (k€/an)</t>
  </si>
  <si>
    <t xml:space="preserve">Taux d'IS</t>
  </si>
  <si>
    <t xml:space="preserve">Remboursement prêt d'honneur (an 3, €)</t>
  </si>
  <si>
    <t xml:space="preserve">Variation de BFR (k€/an — prudent)</t>
  </si>
  <si>
    <t xml:space="preserve">Facturation trimestrielle d'avance ⇒ BFR structurellement faible ; provision prudente.</t>
  </si>
  <si>
    <t xml:space="preserve">MOTEUR TRIMESTRIEL (T1-T12)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</si>
  <si>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</si>
  <si>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</si>
  <si>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</si>
  <si>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</si>
  <si>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</si>
  <si>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</si>
  <si>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</si>
  <si>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</si>
  <si>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</si>
  <si>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</si>
  <si>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</si>
  <si>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</si>
  <si>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Clients et salariés couverts</t>
  </si>
  <si>
    <t xml:space="preserve">Nouveaux clients (bruts)</t>
  </si>
  <si>
    <t xml:space="preserve">Clients perdus</t>
  </si>
  <si>
    <t xml:space="preserve">Clients fin de trimestre</t>
  </si>
  <si>
    <t xml:space="preserve">Taille moyenne (salariés/client)</t>
  </si>
  <si>
    <t xml:space="preserve">Salariés couverts (fin)</t>
  </si>
  <si>
    <t xml:space="preserve">Salariés couverts (moyens)</t>
  </si>
  <si>
    <t xml:space="preserve">Contrôle : nouveaux clients = Hypothèses (0 attendu)</t>
  </si>
  <si>
    <t xml:space="preserve">Revenus</t>
  </si>
  <si>
    <t xml:space="preserve">Prix moyen (€/salarié/mois)</t>
  </si>
  <si>
    <t xml:space="preserve">CA abonnements</t>
  </si>
  <si>
    <t xml:space="preserve">Pilotes menés (nb)</t>
  </si>
  <si>
    <t xml:space="preserve">CA pilotes (non convertis)</t>
  </si>
  <si>
    <t xml:space="preserve">CA packs salariés</t>
  </si>
  <si>
    <t xml:space="preserve">Chiffre d'affaires total</t>
  </si>
  <si>
    <t xml:space="preserve">Coûts variables (COGS)</t>
  </si>
  <si>
    <t xml:space="preserve">Infra, sécurité &amp; IA</t>
  </si>
  <si>
    <t xml:space="preserve">Support niveau 1</t>
  </si>
  <si>
    <t xml:space="preserve">Coachs humains inclus (Patrimoine)</t>
  </si>
  <si>
    <t xml:space="preserve">Facturation &amp; paiement</t>
  </si>
  <si>
    <t xml:space="preserve">Reversement experts (packs)</t>
  </si>
  <si>
    <t xml:space="preserve">COGS total</t>
  </si>
  <si>
    <t xml:space="preserve">Marge brute</t>
  </si>
  <si>
    <t xml:space="preserve">Marge brute (%)</t>
  </si>
  <si>
    <t xml:space="preserve">Charges fixes</t>
  </si>
  <si>
    <t xml:space="preserve">Masse salariale</t>
  </si>
  <si>
    <t xml:space="preserve">Studio de développement</t>
  </si>
  <si>
    <t xml:space="preserve">Marketing &amp; marque</t>
  </si>
  <si>
    <t xml:space="preserve">Commissions prescripteurs</t>
  </si>
  <si>
    <t xml:space="preserve">Juridique &amp; conformité</t>
  </si>
  <si>
    <t xml:space="preserve">G&amp;A (loyers, outils, assurances)</t>
  </si>
  <si>
    <t xml:space="preserve">Recrutement + audit sécurité</t>
  </si>
  <si>
    <t xml:space="preserve">Charges fixes totales</t>
  </si>
  <si>
    <t xml:space="preserve">EBITDA</t>
  </si>
  <si>
    <t xml:space="preserve">Trésorerie</t>
  </si>
  <si>
    <t xml:space="preserve">Capex</t>
  </si>
  <si>
    <t xml:space="preserve">Variation de BFR</t>
  </si>
  <si>
    <t xml:space="preserve">IS décaissé + remboursement prêt</t>
  </si>
  <si>
    <t xml:space="preserve">Flux de trésorerie d'exploitation</t>
  </si>
  <si>
    <t xml:space="preserve">Apports (levée + apports nets ante-création)</t>
  </si>
  <si>
    <t xml:space="preserve">Trésorerie fin de trimestre</t>
  </si>
  <si>
    <t xml:space="preserve">Flux cumulé HORS levée (besoin de financement)</t>
  </si>
  <si>
    <t xml:space="preserve">ARR fin de trimestre (run-rate)</t>
  </si>
  <si>
    <t xml:space="preserve">COMPTE DE RÉSULTAT PRÉVISIONNEL — 3 ANS (€, HT)</t>
  </si>
  <si>
    <t xml:space="preserve">15 lignes — format imposé par la grille de soutenance (slide « compte de résultat »).</t>
  </si>
  <si>
    <t xml:space="preserve">CA abonnements (employeurs)</t>
  </si>
  <si>
    <t xml:space="preserve">CA pilotes</t>
  </si>
  <si>
    <t xml:space="preserve">CA packs (salariés)</t>
  </si>
  <si>
    <t xml:space="preserve">≈ 80 % — cohérent avec l'hypothèse « ~78-80 % » du socle.</t>
  </si>
  <si>
    <t xml:space="preserve">Développement externalisé (studio)</t>
  </si>
  <si>
    <t xml:space="preserve">Marketing &amp; commissions prescripteurs</t>
  </si>
  <si>
    <t xml:space="preserve">Frais généraux, juridique, conformité</t>
  </si>
  <si>
    <t xml:space="preserve">EBITDA (% du CA)</t>
  </si>
  <si>
    <t xml:space="preserve">Amortissements</t>
  </si>
  <si>
    <t xml:space="preserve">Résultat d'exploitation</t>
  </si>
  <si>
    <t xml:space="preserve">Déficits reportables imputés (an 3)</t>
  </si>
  <si>
    <t xml:space="preserve">Résultat imposable (après reports)</t>
  </si>
  <si>
    <t xml:space="preserve">Impôt sur les sociétés</t>
  </si>
  <si>
    <t xml:space="preserve">Résultat net</t>
  </si>
  <si>
    <t xml:space="preserve">Indicateurs clés (découlent du modèle)</t>
  </si>
  <si>
    <t xml:space="preserve">ARR fin d'année (run-rate)</t>
  </si>
  <si>
    <t xml:space="preserve">0,68 / 3,0 / 8,8 M€ — remplace l'ancien « 0,8 / 3,5 / 9,5 » qui confondait ARR et CA.</t>
  </si>
  <si>
    <t xml:space="preserve">Clients fin d'année</t>
  </si>
  <si>
    <t xml:space="preserve">Marge brute %</t>
  </si>
  <si>
    <t xml:space="preserve">CAC (S&amp;M / nouveaux clients, €)</t>
  </si>
  <si>
    <t xml:space="preserve">S&amp;M = VP Sales + AE + SDR + marketing + commissions. An 2 ≈ 18 k€/client.</t>
  </si>
  <si>
    <t xml:space="preserve">ARR apporté par nouveau client (€)</t>
  </si>
  <si>
    <t xml:space="preserve">Payback CAC (mois, sur marge brute)</t>
  </si>
  <si>
    <t xml:space="preserve">≈ 4-5 mois an 2 — excellent pour du SaaS B2B (référence : &lt; 12 mois).</t>
  </si>
  <si>
    <t xml:space="preserve">PLAN DE FINANCEMENT — ANTE-CRÉATION + 3 ANS (€)</t>
  </si>
  <si>
    <t xml:space="preserve">Ante-création</t>
  </si>
  <si>
    <t xml:space="preserve">Emplois (besoins)</t>
  </si>
  <si>
    <t xml:space="preserve">Frais d'établissement, marque, étude, maquette</t>
  </si>
  <si>
    <t xml:space="preserve">Capex matériel</t>
  </si>
  <si>
    <t xml:space="preserve">Insuffisance d'autofinancement (pertes − amortissements)</t>
  </si>
  <si>
    <t xml:space="preserve">Remboursement prêt d'honneur</t>
  </si>
  <si>
    <t xml:space="preserve">Total emplois</t>
  </si>
  <si>
    <t xml:space="preserve">Ressources</t>
  </si>
  <si>
    <t xml:space="preserve">Apport fondatrice</t>
  </si>
  <si>
    <t xml:space="preserve">Prêt d'honneur</t>
  </si>
  <si>
    <t xml:space="preserve">Subvention (à confirmer)</t>
  </si>
  <si>
    <t xml:space="preserve">Levée de fonds (seed)</t>
  </si>
  <si>
    <t xml:space="preserve">Encaissée au T1 an 1 — le tour se signe À LA CRÉATION, pas « à 18 mois » (incohérence corrigée).</t>
  </si>
  <si>
    <t xml:space="preserve">Capacité d'autofinancement (RN + amortissements)</t>
  </si>
  <si>
    <t xml:space="preserve">Total ressources</t>
  </si>
  <si>
    <t xml:space="preserve">Solde annuel</t>
  </si>
  <si>
    <t xml:space="preserve">Trésorerie cumulée</t>
  </si>
  <si>
    <t xml:space="preserve">Contrôle : trésorerie cumulée an 3 − trésorerie Trimestriel T12 (écart d'arrondi attendu ≈ 0)</t>
  </si>
  <si>
    <t xml:space="preserve">SEUIL DE RENTABILITÉ, POINT MORT, BESOIN DE FINANCEMENT</t>
  </si>
  <si>
    <t xml:space="preserve">Point mort — traduit en quantités (exigence de la grille)</t>
  </si>
  <si>
    <t xml:space="preserve">Structure an 2</t>
  </si>
  <si>
    <t xml:space="preserve">Structure an 3</t>
  </si>
  <si>
    <t xml:space="preserve">Charges fixes trimestrielles (€)</t>
  </si>
  <si>
    <t xml:space="preserve">Marge brute par salarié couvert et par trimestre (€)</t>
  </si>
  <si>
    <t xml:space="preserve">SEUIL : salariés couverts nécessaires</t>
  </si>
  <si>
    <t xml:space="preserve">≈ 20 000 salariés (structure an 2) / ≈ 36 000 (structure an 3, coûts pleins).</t>
  </si>
  <si>
    <t xml:space="preserve">SEUIL : en nombre de clients ETI moyens</t>
  </si>
  <si>
    <t xml:space="preserve">Franchissement effectif (lecture du Trimestriel)</t>
  </si>
  <si>
    <t xml:space="preserve">EBITDA trimestriel positif à partir du T7 (an 2) ; EBITDA annuel positif an 3.</t>
  </si>
  <si>
    <t xml:space="preserve">Entonnoir commercial an 1 — d'où viennent les 15 clients</t>
  </si>
  <si>
    <t xml:space="preserve">Contrats visés an 1</t>
  </si>
  <si>
    <t xml:space="preserve">Pilotes nécessaires</t>
  </si>
  <si>
    <t xml:space="preserve">Démos nécessaires</t>
  </si>
  <si>
    <t xml:space="preserve">RDV nécessaires</t>
  </si>
  <si>
    <t xml:space="preserve">Comptes à travailler (sur 7 442 ETI)</t>
  </si>
  <si>
    <t xml:space="preserve">≈ 500 comptes ⇒ intenable pour une personne seule ⇒ l'AE recruté dès M4 est indispensable.</t>
  </si>
  <si>
    <t xml:space="preserve">Sensibilité — EBITDA an 3 (approximations documentées)</t>
  </si>
  <si>
    <t xml:space="preserve">Scénario central</t>
  </si>
  <si>
    <t xml:space="preserve">Ventes −30 % (marge brute ×0,7, charges fixes constantes)</t>
  </si>
  <si>
    <t xml:space="preserve">Le projet reste bénéficiaire an 3 même à −30 % de ventes : c'est l'argument de robustesse.</t>
  </si>
  <si>
    <t xml:space="preserve">Prix −20 % (CA ×0,8, COGS constants)</t>
  </si>
  <si>
    <t xml:space="preserve">Mix Patrimoine gelé à 20 % (prix moyen 9,40 €)</t>
  </si>
  <si>
    <t xml:space="preserve">Besoin de financement — justification de la levée</t>
  </si>
  <si>
    <t xml:space="preserve">Besoin cumulé maximal hors levée (scénario central)</t>
  </si>
  <si>
    <t xml:space="preserve">Besoin en scénario prudent (−30 % de marge brute an 2)</t>
  </si>
  <si>
    <t xml:space="preserve">Approximation : le retard de marge an 2 s'ajoute au besoin central.</t>
  </si>
  <si>
    <t xml:space="preserve">Levée sollicitée</t>
  </si>
  <si>
    <t xml:space="preserve">Marge de sécurité sur le scénario prudent</t>
  </si>
  <si>
    <t xml:space="preserve">Trésorerie minimale sur 3 ans (avec levée)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</si>
</sst>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%"/>
    <numFmt numFmtId="167" formatCode="#,##0"/>
    <numFmt numFmtId="168" formatCode="0.00"/>
    <numFmt numFmtId="169" formatCode="#,##0.0;\(#,##0.0\);\-"/>
    <numFmt numFmtId="170" formatCode="0.0"/>
    <numFmt numFmtId="171" formatCode="#,##0;\(#,##0\);\-"/>
    <numFmt numFmtId="172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B69"/>
        <bgColor rgb="FF666666"/>
      </patternFill>
    </fill>
    <fill>
      <patternFill patternType="solid">
        <fgColor rgb="FFFFF2CC"/>
        <bgColor rgb="FFFFFFFF"/>
      </patternFill>
    </fill>
    <fill>
      <patternFill patternType="solid">
        <fgColor rgb="FFDCE6E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B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2"/>
    <col collapsed="false" customWidth="true" hidden="false" outlineLevel="0" max="6" min="6" style="0" width="68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F2" s="3" t="s">
        <v>18</v>
      </c>
    </row>
    <row r="3" customFormat="false" ht="15" hidden="false" customHeight="false" outlineLevel="0" collapsed="false">
      <c r="A3" s="4" t="s">
        <v>19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2" t="s">
        <v>20</v>
      </c>
      <c r="B4" s="6" t="n">
        <v>8</v>
      </c>
      <c r="F4" s="3" t="s">
        <v>21</v>
      </c>
    </row>
    <row r="5" customFormat="false" ht="15" hidden="false" customHeight="false" outlineLevel="0" collapsed="false">
      <c r="A5" s="2" t="s">
        <v>22</v>
      </c>
      <c r="B5" s="6" t="n">
        <v>15</v>
      </c>
      <c r="F5" s="3" t="s">
        <v>23</v>
      </c>
    </row>
    <row r="6" customFormat="false" ht="15" hidden="false" customHeight="false" outlineLevel="0" collapsed="false">
      <c r="A6" s="2" t="s">
        <v>24</v>
      </c>
      <c r="B6" s="7" t="n">
        <v>4</v>
      </c>
      <c r="F6" s="3" t="s">
        <v>25</v>
      </c>
    </row>
    <row r="7" customFormat="false" ht="15" hidden="false" customHeight="false" outlineLevel="0" collapsed="false">
      <c r="A7" s="2" t="s">
        <v>26</v>
      </c>
      <c r="B7" s="8" t="n">
        <v>0.6</v>
      </c>
      <c r="F7" s="3" t="s">
        <v>27</v>
      </c>
    </row>
    <row r="9" customFormat="false" ht="15" hidden="false" customHeight="false" outlineLevel="0" collapsed="false">
      <c r="B9" s="9" t="s">
        <v>28</v>
      </c>
      <c r="C9" s="9" t="s">
        <v>29</v>
      </c>
      <c r="D9" s="9" t="s">
        <v>30</v>
      </c>
    </row>
    <row r="10" customFormat="false" ht="15" hidden="false" customHeight="false" outlineLevel="0" collapsed="false">
      <c r="A10" s="2" t="s">
        <v>31</v>
      </c>
      <c r="B10" s="8" t="n">
        <v>0.2</v>
      </c>
      <c r="C10" s="8" t="n">
        <v>0.28</v>
      </c>
      <c r="D10" s="8" t="n">
        <v>0.35</v>
      </c>
      <c r="F10" s="3" t="s">
        <v>32</v>
      </c>
    </row>
    <row r="11" customFormat="false" ht="15" hidden="false" customHeight="false" outlineLevel="0" collapsed="false">
      <c r="A11" s="2" t="s">
        <v>33</v>
      </c>
      <c r="B11" s="10" t="n">
        <f aca="false">$B$4*(1-B10)+$B$5*B10</f>
        <v>9.4</v>
      </c>
      <c r="C11" s="10" t="n">
        <f aca="false">$B$4*(1-C10)+$B$5*C10</f>
        <v>9.96</v>
      </c>
      <c r="D11" s="10" t="n">
        <f aca="false">$B$4*(1-D10)+$B$5*D10</f>
        <v>10.45</v>
      </c>
      <c r="F11" s="3" t="s">
        <v>34</v>
      </c>
    </row>
    <row r="13" customFormat="false" ht="15" hidden="false" customHeight="false" outlineLevel="0" collapsed="false">
      <c r="A13" s="4" t="s">
        <v>35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2" t="s">
        <v>36</v>
      </c>
      <c r="B14" s="11" t="n">
        <v>15</v>
      </c>
      <c r="C14" s="11" t="n">
        <v>36</v>
      </c>
      <c r="D14" s="11" t="n">
        <v>75</v>
      </c>
      <c r="F14" s="3" t="s">
        <v>37</v>
      </c>
    </row>
    <row r="15" customFormat="false" ht="15" hidden="false" customHeight="false" outlineLevel="0" collapsed="false">
      <c r="A15" s="2" t="s">
        <v>38</v>
      </c>
      <c r="B15" s="12" t="n">
        <v>0</v>
      </c>
      <c r="C15" s="12" t="n">
        <v>1</v>
      </c>
      <c r="D15" s="12" t="n">
        <v>5</v>
      </c>
      <c r="F15" s="3" t="s">
        <v>39</v>
      </c>
    </row>
    <row r="16" customFormat="false" ht="15" hidden="false" customHeight="false" outlineLevel="0" collapsed="false">
      <c r="A16" s="2" t="s">
        <v>40</v>
      </c>
      <c r="B16" s="13" t="n">
        <f aca="false">B14-B15</f>
        <v>15</v>
      </c>
      <c r="C16" s="13" t="n">
        <f aca="false">B16+C14-C15</f>
        <v>50</v>
      </c>
      <c r="D16" s="13" t="n">
        <f aca="false">C16+D14-D15</f>
        <v>120</v>
      </c>
    </row>
    <row r="17" customFormat="false" ht="15" hidden="false" customHeight="false" outlineLevel="0" collapsed="false">
      <c r="A17" s="2" t="s">
        <v>41</v>
      </c>
      <c r="B17" s="12" t="n">
        <v>400</v>
      </c>
      <c r="C17" s="12" t="n">
        <v>500</v>
      </c>
      <c r="D17" s="12" t="n">
        <v>583.33</v>
      </c>
      <c r="F17" s="3" t="s">
        <v>42</v>
      </c>
    </row>
    <row r="18" customFormat="false" ht="15" hidden="false" customHeight="false" outlineLevel="0" collapsed="false">
      <c r="A18" s="2" t="s">
        <v>43</v>
      </c>
      <c r="B18" s="13" t="n">
        <f aca="false">B16*B17</f>
        <v>6000</v>
      </c>
      <c r="C18" s="13" t="n">
        <f aca="false">C16*C17</f>
        <v>25000</v>
      </c>
      <c r="D18" s="13" t="n">
        <f aca="false">D16*D17</f>
        <v>69999.6</v>
      </c>
      <c r="F18" s="3" t="s">
        <v>44</v>
      </c>
    </row>
    <row r="20" customFormat="false" ht="15" hidden="false" customHeight="false" outlineLevel="0" collapsed="false">
      <c r="A20" s="4" t="s">
        <v>45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2" t="s">
        <v>46</v>
      </c>
      <c r="B21" s="14" t="n">
        <v>0.25</v>
      </c>
      <c r="F21" s="3" t="s">
        <v>47</v>
      </c>
    </row>
    <row r="22" customFormat="false" ht="15" hidden="false" customHeight="false" outlineLevel="0" collapsed="false">
      <c r="A22" s="2" t="s">
        <v>48</v>
      </c>
      <c r="B22" s="14" t="n">
        <v>0.5</v>
      </c>
    </row>
    <row r="23" customFormat="false" ht="15" hidden="false" customHeight="false" outlineLevel="0" collapsed="false">
      <c r="A23" s="2" t="s">
        <v>49</v>
      </c>
      <c r="B23" s="14" t="n">
        <v>0.4</v>
      </c>
      <c r="F23" s="3" t="s">
        <v>50</v>
      </c>
    </row>
    <row r="25" customFormat="false" ht="15" hidden="false" customHeight="false" outlineLevel="0" collapsed="false">
      <c r="A25" s="4" t="s">
        <v>51</v>
      </c>
      <c r="B25" s="5"/>
      <c r="C25" s="5"/>
      <c r="D25" s="5"/>
      <c r="E25" s="5"/>
      <c r="F25" s="5"/>
    </row>
    <row r="26" customFormat="false" ht="15" hidden="false" customHeight="false" outlineLevel="0" collapsed="false">
      <c r="A26" s="2" t="s">
        <v>52</v>
      </c>
      <c r="B26" s="8" t="n">
        <v>0.22</v>
      </c>
      <c r="F26" s="3" t="s">
        <v>53</v>
      </c>
    </row>
    <row r="27" customFormat="false" ht="15" hidden="false" customHeight="false" outlineLevel="0" collapsed="false">
      <c r="A27" s="2" t="s">
        <v>54</v>
      </c>
      <c r="B27" s="14" t="n">
        <v>0.12</v>
      </c>
      <c r="F27" s="3" t="s">
        <v>55</v>
      </c>
    </row>
    <row r="28" customFormat="false" ht="15" hidden="false" customHeight="false" outlineLevel="0" collapsed="false">
      <c r="A28" s="2" t="s">
        <v>56</v>
      </c>
      <c r="B28" s="14" t="n">
        <v>0.4</v>
      </c>
      <c r="F28" s="3" t="s">
        <v>57</v>
      </c>
    </row>
    <row r="30" customFormat="false" ht="15" hidden="false" customHeight="false" outlineLevel="0" collapsed="false">
      <c r="A30" s="4" t="s">
        <v>58</v>
      </c>
      <c r="B30" s="5"/>
      <c r="C30" s="5"/>
      <c r="D30" s="5"/>
      <c r="E30" s="5"/>
      <c r="F30" s="5"/>
    </row>
    <row r="31" customFormat="false" ht="15" hidden="false" customHeight="false" outlineLevel="0" collapsed="false">
      <c r="A31" s="2" t="s">
        <v>59</v>
      </c>
      <c r="B31" s="14" t="n">
        <v>0.03</v>
      </c>
      <c r="C31" s="14" t="n">
        <v>0.05</v>
      </c>
      <c r="D31" s="14" t="n">
        <v>0.06</v>
      </c>
      <c r="F31" s="3" t="s">
        <v>60</v>
      </c>
    </row>
    <row r="32" customFormat="false" ht="15" hidden="false" customHeight="false" outlineLevel="0" collapsed="false">
      <c r="A32" s="2" t="s">
        <v>61</v>
      </c>
      <c r="B32" s="12" t="n">
        <v>110</v>
      </c>
      <c r="F32" s="3" t="s">
        <v>62</v>
      </c>
    </row>
    <row r="33" customFormat="false" ht="15" hidden="false" customHeight="false" outlineLevel="0" collapsed="false">
      <c r="A33" s="2" t="s">
        <v>63</v>
      </c>
      <c r="B33" s="14" t="n">
        <v>0.65</v>
      </c>
      <c r="F33" s="3" t="s">
        <v>64</v>
      </c>
    </row>
    <row r="35" customFormat="false" ht="15" hidden="false" customHeight="false" outlineLevel="0" collapsed="false">
      <c r="A35" s="4" t="s">
        <v>65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2" t="s">
        <v>66</v>
      </c>
      <c r="B36" s="7" t="n">
        <v>0.9</v>
      </c>
      <c r="C36" s="7" t="n">
        <v>0.8</v>
      </c>
      <c r="D36" s="7" t="n">
        <v>0.7</v>
      </c>
      <c r="F36" s="3" t="s">
        <v>67</v>
      </c>
    </row>
    <row r="37" customFormat="false" ht="15" hidden="false" customHeight="false" outlineLevel="0" collapsed="false">
      <c r="A37" s="2" t="s">
        <v>68</v>
      </c>
      <c r="B37" s="7" t="n">
        <v>0.4</v>
      </c>
    </row>
    <row r="38" customFormat="false" ht="15" hidden="false" customHeight="false" outlineLevel="0" collapsed="false">
      <c r="A38" s="2" t="s">
        <v>69</v>
      </c>
      <c r="B38" s="7" t="n">
        <v>1.9</v>
      </c>
      <c r="F38" s="3" t="s">
        <v>70</v>
      </c>
    </row>
    <row r="39" customFormat="false" ht="15" hidden="false" customHeight="false" outlineLevel="0" collapsed="false">
      <c r="A39" s="2" t="s">
        <v>71</v>
      </c>
      <c r="B39" s="14" t="n">
        <v>0.015</v>
      </c>
    </row>
    <row r="41" customFormat="false" ht="15" hidden="false" customHeight="false" outlineLevel="0" collapsed="false">
      <c r="A41" s="4" t="s">
        <v>72</v>
      </c>
      <c r="B41" s="5"/>
      <c r="C41" s="5"/>
      <c r="D41" s="5"/>
      <c r="E41" s="5"/>
      <c r="F41" s="5"/>
    </row>
    <row r="42" customFormat="false" ht="15" hidden="false" customHeight="false" outlineLevel="0" collapsed="false">
      <c r="A42" s="9" t="s">
        <v>73</v>
      </c>
      <c r="B42" s="9" t="s">
        <v>74</v>
      </c>
      <c r="C42" s="9" t="s">
        <v>75</v>
      </c>
      <c r="D42" s="9" t="s">
        <v>76</v>
      </c>
      <c r="E42" s="9" t="s">
        <v>77</v>
      </c>
    </row>
    <row r="43" customFormat="false" ht="15" hidden="false" customHeight="false" outlineLevel="0" collapsed="false">
      <c r="A43" s="2" t="s">
        <v>78</v>
      </c>
      <c r="B43" s="12" t="n">
        <v>75</v>
      </c>
      <c r="C43" s="15" t="n">
        <v>1</v>
      </c>
      <c r="D43" s="15" t="n">
        <v>1</v>
      </c>
      <c r="E43" s="15" t="n">
        <v>1</v>
      </c>
    </row>
    <row r="44" customFormat="false" ht="15" hidden="false" customHeight="false" outlineLevel="0" collapsed="false">
      <c r="A44" s="2" t="s">
        <v>79</v>
      </c>
      <c r="B44" s="12" t="n">
        <v>110</v>
      </c>
      <c r="C44" s="15" t="n">
        <v>0</v>
      </c>
      <c r="D44" s="15" t="n">
        <v>0.5</v>
      </c>
      <c r="E44" s="15" t="n">
        <v>1</v>
      </c>
    </row>
    <row r="45" customFormat="false" ht="15" hidden="false" customHeight="false" outlineLevel="0" collapsed="false">
      <c r="A45" s="2" t="s">
        <v>80</v>
      </c>
      <c r="B45" s="12" t="n">
        <v>80</v>
      </c>
      <c r="C45" s="15" t="n">
        <v>0.75</v>
      </c>
      <c r="D45" s="15" t="n">
        <v>2.5</v>
      </c>
      <c r="E45" s="15" t="n">
        <v>5</v>
      </c>
    </row>
    <row r="46" customFormat="false" ht="15" hidden="false" customHeight="false" outlineLevel="0" collapsed="false">
      <c r="A46" s="2" t="s">
        <v>81</v>
      </c>
      <c r="B46" s="12" t="n">
        <v>55</v>
      </c>
      <c r="C46" s="15" t="n">
        <v>0</v>
      </c>
      <c r="D46" s="15" t="n">
        <v>1</v>
      </c>
      <c r="E46" s="15" t="n">
        <v>2</v>
      </c>
    </row>
    <row r="47" customFormat="false" ht="15" hidden="false" customHeight="false" outlineLevel="0" collapsed="false">
      <c r="A47" s="2" t="s">
        <v>82</v>
      </c>
      <c r="B47" s="12" t="n">
        <v>58</v>
      </c>
      <c r="C47" s="15" t="n">
        <v>0.5</v>
      </c>
      <c r="D47" s="15" t="n">
        <v>3</v>
      </c>
      <c r="E47" s="15" t="n">
        <v>6</v>
      </c>
    </row>
    <row r="48" customFormat="false" ht="15" hidden="false" customHeight="false" outlineLevel="0" collapsed="false">
      <c r="A48" s="2" t="s">
        <v>83</v>
      </c>
      <c r="B48" s="12" t="n">
        <v>78</v>
      </c>
      <c r="C48" s="15" t="n">
        <v>0.83</v>
      </c>
      <c r="D48" s="15" t="n">
        <v>1.5</v>
      </c>
      <c r="E48" s="15" t="n">
        <v>2</v>
      </c>
    </row>
    <row r="49" customFormat="false" ht="15" hidden="false" customHeight="false" outlineLevel="0" collapsed="false">
      <c r="A49" s="2" t="s">
        <v>84</v>
      </c>
      <c r="B49" s="12" t="n">
        <v>75</v>
      </c>
      <c r="C49" s="15" t="n">
        <v>0</v>
      </c>
      <c r="D49" s="15" t="n">
        <v>1</v>
      </c>
      <c r="E49" s="15" t="n">
        <v>4</v>
      </c>
    </row>
    <row r="50" customFormat="false" ht="15" hidden="false" customHeight="false" outlineLevel="0" collapsed="false">
      <c r="A50" s="2" t="s">
        <v>85</v>
      </c>
      <c r="B50" s="12" t="n">
        <v>70</v>
      </c>
      <c r="C50" s="15" t="n">
        <v>0</v>
      </c>
      <c r="D50" s="15" t="n">
        <v>0.5</v>
      </c>
      <c r="E50" s="15" t="n">
        <v>1.5</v>
      </c>
    </row>
    <row r="51" customFormat="false" ht="15" hidden="false" customHeight="false" outlineLevel="0" collapsed="false">
      <c r="A51" s="2" t="s">
        <v>86</v>
      </c>
      <c r="B51" s="12" t="n">
        <v>60</v>
      </c>
      <c r="C51" s="15" t="n">
        <v>0.5</v>
      </c>
      <c r="D51" s="15" t="n">
        <v>1.5</v>
      </c>
      <c r="E51" s="15" t="n">
        <v>2.5</v>
      </c>
    </row>
    <row r="52" customFormat="false" ht="15" hidden="false" customHeight="false" outlineLevel="0" collapsed="false">
      <c r="A52" s="2" t="s">
        <v>87</v>
      </c>
      <c r="B52" s="12" t="n">
        <v>70</v>
      </c>
      <c r="C52" s="15" t="n">
        <v>0</v>
      </c>
      <c r="D52" s="15" t="n">
        <v>0.5</v>
      </c>
      <c r="E52" s="15" t="n">
        <v>1</v>
      </c>
    </row>
    <row r="53" customFormat="false" ht="15" hidden="false" customHeight="false" outlineLevel="0" collapsed="false">
      <c r="A53" s="2" t="s">
        <v>88</v>
      </c>
      <c r="B53" s="12" t="n">
        <v>55</v>
      </c>
      <c r="C53" s="15" t="n">
        <v>0</v>
      </c>
      <c r="D53" s="15" t="n">
        <v>1</v>
      </c>
      <c r="E53" s="15" t="n">
        <v>2.5</v>
      </c>
    </row>
    <row r="54" customFormat="false" ht="15" hidden="false" customHeight="false" outlineLevel="0" collapsed="false">
      <c r="A54" s="9" t="s">
        <v>89</v>
      </c>
      <c r="C54" s="16" t="n">
        <f aca="false">SUMPRODUCT($B43:$B53,C43:C53)</f>
        <v>258.74</v>
      </c>
      <c r="D54" s="16" t="n">
        <f aca="false">SUMPRODUCT($B43:$B53,D43:D53)</f>
        <v>966</v>
      </c>
      <c r="E54" s="16" t="n">
        <f aca="false">SUMPRODUCT($B43:$B53,E43:E53)</f>
        <v>1961.5</v>
      </c>
      <c r="F54" s="3" t="s">
        <v>90</v>
      </c>
    </row>
    <row r="55" customFormat="false" ht="15" hidden="false" customHeight="false" outlineLevel="0" collapsed="false">
      <c r="A55" s="9" t="s">
        <v>91</v>
      </c>
      <c r="C55" s="17" t="n">
        <f aca="false">SUM(C43:C53)</f>
        <v>3.58</v>
      </c>
      <c r="D55" s="17" t="n">
        <f aca="false">SUM(D43:D53)</f>
        <v>14</v>
      </c>
      <c r="E55" s="17" t="n">
        <f aca="false">SUM(E43:E53)</f>
        <v>28.5</v>
      </c>
    </row>
    <row r="56" customFormat="false" ht="15" hidden="false" customHeight="false" outlineLevel="0" collapsed="false">
      <c r="A56" s="4" t="s">
        <v>92</v>
      </c>
      <c r="B56" s="5"/>
      <c r="C56" s="5"/>
      <c r="D56" s="5"/>
      <c r="E56" s="5"/>
      <c r="F56" s="5"/>
    </row>
    <row r="57" customFormat="false" ht="15" hidden="false" customHeight="false" outlineLevel="0" collapsed="false">
      <c r="A57" s="2" t="s">
        <v>93</v>
      </c>
      <c r="B57" s="11" t="n">
        <v>300</v>
      </c>
      <c r="C57" s="11" t="n">
        <v>350</v>
      </c>
      <c r="D57" s="11" t="n">
        <v>150</v>
      </c>
      <c r="F57" s="3" t="s">
        <v>94</v>
      </c>
    </row>
    <row r="58" customFormat="false" ht="15" hidden="false" customHeight="false" outlineLevel="0" collapsed="false">
      <c r="A58" s="2" t="s">
        <v>95</v>
      </c>
      <c r="B58" s="12" t="n">
        <v>60</v>
      </c>
      <c r="C58" s="12" t="n">
        <v>300</v>
      </c>
      <c r="D58" s="12" t="n">
        <v>700</v>
      </c>
      <c r="F58" s="3" t="s">
        <v>96</v>
      </c>
    </row>
    <row r="59" customFormat="false" ht="15" hidden="false" customHeight="false" outlineLevel="0" collapsed="false">
      <c r="A59" s="2" t="s">
        <v>97</v>
      </c>
      <c r="B59" s="14" t="n">
        <v>0</v>
      </c>
      <c r="C59" s="14" t="n">
        <v>0.02</v>
      </c>
      <c r="D59" s="14" t="n">
        <v>0.0375</v>
      </c>
      <c r="F59" s="3" t="s">
        <v>98</v>
      </c>
    </row>
    <row r="60" customFormat="false" ht="15" hidden="false" customHeight="false" outlineLevel="0" collapsed="false">
      <c r="A60" s="2" t="s">
        <v>99</v>
      </c>
      <c r="B60" s="12" t="n">
        <v>45</v>
      </c>
      <c r="C60" s="12" t="n">
        <v>55</v>
      </c>
      <c r="D60" s="12" t="n">
        <v>80</v>
      </c>
    </row>
    <row r="61" customFormat="false" ht="15" hidden="false" customHeight="false" outlineLevel="0" collapsed="false">
      <c r="A61" s="2" t="s">
        <v>100</v>
      </c>
      <c r="B61" s="12" t="n">
        <v>50</v>
      </c>
      <c r="C61" s="12" t="n">
        <v>110</v>
      </c>
      <c r="D61" s="12" t="n">
        <v>220</v>
      </c>
    </row>
    <row r="62" customFormat="false" ht="15" hidden="false" customHeight="false" outlineLevel="0" collapsed="false">
      <c r="A62" s="2" t="s">
        <v>101</v>
      </c>
      <c r="B62" s="12" t="n">
        <v>15</v>
      </c>
      <c r="C62" s="12" t="n">
        <v>40</v>
      </c>
      <c r="D62" s="12" t="n">
        <v>60</v>
      </c>
    </row>
    <row r="63" customFormat="false" ht="15" hidden="false" customHeight="false" outlineLevel="0" collapsed="false">
      <c r="A63" s="2" t="s">
        <v>102</v>
      </c>
      <c r="B63" s="12" t="n">
        <v>0</v>
      </c>
      <c r="C63" s="12" t="n">
        <v>25</v>
      </c>
      <c r="D63" s="12" t="n">
        <v>45</v>
      </c>
      <c r="F63" s="3" t="s">
        <v>103</v>
      </c>
    </row>
    <row r="65" customFormat="false" ht="15" hidden="false" customHeight="false" outlineLevel="0" collapsed="false">
      <c r="A65" s="4" t="s">
        <v>104</v>
      </c>
      <c r="B65" s="5"/>
      <c r="C65" s="5"/>
      <c r="D65" s="5"/>
      <c r="E65" s="5"/>
      <c r="F65" s="5"/>
    </row>
    <row r="66" customFormat="false" ht="15" hidden="false" customHeight="false" outlineLevel="0" collapsed="false">
      <c r="A66" s="2" t="s">
        <v>105</v>
      </c>
      <c r="B66" s="18" t="n">
        <v>1500000</v>
      </c>
      <c r="F66" s="3" t="s">
        <v>106</v>
      </c>
    </row>
    <row r="67" customFormat="false" ht="15" hidden="false" customHeight="false" outlineLevel="0" collapsed="false">
      <c r="A67" s="2" t="s">
        <v>107</v>
      </c>
      <c r="B67" s="19" t="n">
        <v>30000</v>
      </c>
    </row>
    <row r="68" customFormat="false" ht="15" hidden="false" customHeight="false" outlineLevel="0" collapsed="false">
      <c r="A68" s="2" t="s">
        <v>108</v>
      </c>
      <c r="B68" s="19" t="n">
        <v>20000</v>
      </c>
      <c r="F68" s="3" t="s">
        <v>109</v>
      </c>
    </row>
    <row r="69" customFormat="false" ht="15" hidden="false" customHeight="false" outlineLevel="0" collapsed="false">
      <c r="A69" s="2" t="s">
        <v>110</v>
      </c>
      <c r="B69" s="19" t="n">
        <v>30000</v>
      </c>
      <c r="F69" s="3" t="s">
        <v>111</v>
      </c>
    </row>
    <row r="70" customFormat="false" ht="15" hidden="false" customHeight="false" outlineLevel="0" collapsed="false">
      <c r="A70" s="2" t="s">
        <v>112</v>
      </c>
      <c r="B70" s="19" t="n">
        <v>60000</v>
      </c>
    </row>
    <row r="71" customFormat="false" ht="15" hidden="false" customHeight="false" outlineLevel="0" collapsed="false">
      <c r="A71" s="2" t="s">
        <v>113</v>
      </c>
      <c r="B71" s="19" t="n">
        <v>5000</v>
      </c>
      <c r="C71" s="19" t="n">
        <v>6000</v>
      </c>
      <c r="D71" s="19" t="n">
        <v>8000</v>
      </c>
    </row>
    <row r="72" customFormat="false" ht="15" hidden="false" customHeight="false" outlineLevel="0" collapsed="false">
      <c r="A72" s="2" t="s">
        <v>114</v>
      </c>
      <c r="B72" s="12" t="n">
        <v>10</v>
      </c>
      <c r="C72" s="12" t="n">
        <v>20</v>
      </c>
      <c r="D72" s="12" t="n">
        <v>30</v>
      </c>
    </row>
    <row r="73" customFormat="false" ht="15" hidden="false" customHeight="false" outlineLevel="0" collapsed="false">
      <c r="A73" s="2" t="s">
        <v>115</v>
      </c>
      <c r="B73" s="14" t="n">
        <v>0.25</v>
      </c>
    </row>
    <row r="74" customFormat="false" ht="15" hidden="false" customHeight="false" outlineLevel="0" collapsed="false">
      <c r="A74" s="2" t="s">
        <v>116</v>
      </c>
      <c r="B74" s="19" t="n">
        <v>20000</v>
      </c>
    </row>
    <row r="75" customFormat="false" ht="15" hidden="false" customHeight="false" outlineLevel="0" collapsed="false">
      <c r="A75" s="2" t="s">
        <v>117</v>
      </c>
      <c r="B75" s="12" t="n">
        <v>20</v>
      </c>
      <c r="C75" s="12" t="n">
        <v>40</v>
      </c>
      <c r="D75" s="12" t="n">
        <v>60</v>
      </c>
      <c r="F75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11"/>
  </cols>
  <sheetData>
    <row r="1" customFormat="false" ht="16.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9"/>
      <c r="B2" s="20" t="s">
        <v>120</v>
      </c>
      <c r="C2" s="20" t="s">
        <v>121</v>
      </c>
      <c r="D2" s="20" t="s">
        <v>122</v>
      </c>
      <c r="E2" s="20" t="s">
        <v>123</v>
      </c>
      <c r="F2" s="20" t="s">
        <v>124</v>
      </c>
      <c r="G2" s="20" t="s">
        <v>125</v>
      </c>
      <c r="H2" s="20" t="s">
        <v>126</v>
      </c>
      <c r="I2" s="20" t="s">
        <v>127</v>
      </c>
      <c r="J2" s="20" t="s">
        <v>128</v>
      </c>
      <c r="K2" s="20" t="s">
        <v>129</v>
      </c>
      <c r="L2" s="20" t="s">
        <v>130</v>
      </c>
      <c r="M2" s="20" t="s">
        <v>131</v>
      </c>
      <c r="N2" s="21" t="s">
        <v>28</v>
      </c>
      <c r="O2" s="21" t="s">
        <v>29</v>
      </c>
      <c r="P2" s="21" t="s">
        <v>30</v>
      </c>
    </row>
    <row r="3" customFormat="false" ht="15" hidden="false" customHeight="false" outlineLevel="0" collapsed="false">
      <c r="A3" s="4" t="s">
        <v>132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15" hidden="false" customHeight="false" outlineLevel="0" collapsed="false">
      <c r="A4" s="2" t="s">
        <v>133</v>
      </c>
      <c r="B4" s="12" t="n">
        <v>0</v>
      </c>
      <c r="C4" s="12" t="n">
        <v>2</v>
      </c>
      <c r="D4" s="12" t="n">
        <v>5</v>
      </c>
      <c r="E4" s="12" t="n">
        <v>8</v>
      </c>
      <c r="F4" s="12" t="n">
        <v>8</v>
      </c>
      <c r="G4" s="12" t="n">
        <v>9</v>
      </c>
      <c r="H4" s="12" t="n">
        <v>9</v>
      </c>
      <c r="I4" s="12" t="n">
        <v>10</v>
      </c>
      <c r="J4" s="12" t="n">
        <v>17</v>
      </c>
      <c r="K4" s="12" t="n">
        <v>18</v>
      </c>
      <c r="L4" s="12" t="n">
        <v>19</v>
      </c>
      <c r="M4" s="12" t="n">
        <v>21</v>
      </c>
      <c r="N4" s="22" t="n">
        <f aca="false">SUM(B4:E4)</f>
        <v>15</v>
      </c>
      <c r="O4" s="22" t="n">
        <f aca="false">SUM(F4:I4)</f>
        <v>36</v>
      </c>
      <c r="P4" s="22" t="n">
        <f aca="false">SUM(J4:M4)</f>
        <v>75</v>
      </c>
    </row>
    <row r="5" customFormat="false" ht="15" hidden="false" customHeight="false" outlineLevel="0" collapsed="false">
      <c r="A5" s="2" t="s">
        <v>134</v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1</v>
      </c>
      <c r="J5" s="12" t="n">
        <v>1</v>
      </c>
      <c r="K5" s="12" t="n">
        <v>1</v>
      </c>
      <c r="L5" s="12" t="n">
        <v>1</v>
      </c>
      <c r="M5" s="12" t="n">
        <v>2</v>
      </c>
      <c r="N5" s="22" t="n">
        <f aca="false">SUM(B5:E5)</f>
        <v>0</v>
      </c>
      <c r="O5" s="22" t="n">
        <f aca="false">SUM(F5:I5)</f>
        <v>1</v>
      </c>
      <c r="P5" s="22" t="n">
        <f aca="false">SUM(J5:M5)</f>
        <v>5</v>
      </c>
    </row>
    <row r="6" customFormat="false" ht="15" hidden="false" customHeight="false" outlineLevel="0" collapsed="false">
      <c r="A6" s="2" t="s">
        <v>135</v>
      </c>
      <c r="B6" s="13" t="n">
        <f aca="false">B4-B5</f>
        <v>0</v>
      </c>
      <c r="C6" s="13" t="n">
        <f aca="false">B6+C4-C5</f>
        <v>2</v>
      </c>
      <c r="D6" s="13" t="n">
        <f aca="false">C6+D4-D5</f>
        <v>7</v>
      </c>
      <c r="E6" s="13" t="n">
        <f aca="false">D6+E4-E5</f>
        <v>15</v>
      </c>
      <c r="F6" s="13" t="n">
        <f aca="false">E6+F4-F5</f>
        <v>23</v>
      </c>
      <c r="G6" s="13" t="n">
        <f aca="false">F6+G4-G5</f>
        <v>32</v>
      </c>
      <c r="H6" s="13" t="n">
        <f aca="false">G6+H4-H5</f>
        <v>41</v>
      </c>
      <c r="I6" s="13" t="n">
        <f aca="false">H6+I4-I5</f>
        <v>50</v>
      </c>
      <c r="J6" s="13" t="n">
        <f aca="false">I6+J4-J5</f>
        <v>66</v>
      </c>
      <c r="K6" s="13" t="n">
        <f aca="false">J6+K4-K5</f>
        <v>83</v>
      </c>
      <c r="L6" s="13" t="n">
        <f aca="false">K6+L4-L5</f>
        <v>101</v>
      </c>
      <c r="M6" s="13" t="n">
        <f aca="false">L6+M4-M5</f>
        <v>120</v>
      </c>
      <c r="N6" s="22" t="n">
        <f aca="false">E6</f>
        <v>15</v>
      </c>
      <c r="O6" s="22" t="n">
        <f aca="false">I6</f>
        <v>50</v>
      </c>
      <c r="P6" s="22" t="n">
        <f aca="false">M6</f>
        <v>120</v>
      </c>
    </row>
    <row r="7" customFormat="false" ht="15" hidden="false" customHeight="false" outlineLevel="0" collapsed="false">
      <c r="A7" s="2" t="s">
        <v>136</v>
      </c>
      <c r="B7" s="23" t="n">
        <f aca="false">Hypothèses!B$17</f>
        <v>400</v>
      </c>
      <c r="C7" s="23" t="n">
        <f aca="false">Hypothèses!B$17</f>
        <v>400</v>
      </c>
      <c r="D7" s="23" t="n">
        <f aca="false">Hypothèses!B$17</f>
        <v>400</v>
      </c>
      <c r="E7" s="23" t="n">
        <f aca="false">Hypothèses!B$17</f>
        <v>400</v>
      </c>
      <c r="F7" s="23" t="n">
        <f aca="false">Hypothèses!C$17</f>
        <v>500</v>
      </c>
      <c r="G7" s="23" t="n">
        <f aca="false">Hypothèses!C$17</f>
        <v>500</v>
      </c>
      <c r="H7" s="23" t="n">
        <f aca="false">Hypothèses!C$17</f>
        <v>500</v>
      </c>
      <c r="I7" s="23" t="n">
        <f aca="false">Hypothèses!C$17</f>
        <v>500</v>
      </c>
      <c r="J7" s="23" t="n">
        <f aca="false">Hypothèses!D$17</f>
        <v>583.33</v>
      </c>
      <c r="K7" s="23" t="n">
        <f aca="false">Hypothèses!D$17</f>
        <v>583.33</v>
      </c>
      <c r="L7" s="23" t="n">
        <f aca="false">Hypothèses!D$17</f>
        <v>583.33</v>
      </c>
      <c r="M7" s="23" t="n">
        <f aca="false">Hypothèses!D$17</f>
        <v>583.33</v>
      </c>
      <c r="N7" s="22" t="n">
        <f aca="false">E7</f>
        <v>400</v>
      </c>
      <c r="O7" s="22" t="n">
        <f aca="false">I7</f>
        <v>500</v>
      </c>
      <c r="P7" s="22" t="n">
        <f aca="false">M7</f>
        <v>583.33</v>
      </c>
    </row>
    <row r="8" customFormat="false" ht="15" hidden="false" customHeight="false" outlineLevel="0" collapsed="false">
      <c r="A8" s="2" t="s">
        <v>137</v>
      </c>
      <c r="B8" s="13" t="n">
        <f aca="false">B6*B7</f>
        <v>0</v>
      </c>
      <c r="C8" s="13" t="n">
        <f aca="false">C6*C7</f>
        <v>800</v>
      </c>
      <c r="D8" s="13" t="n">
        <f aca="false">D6*D7</f>
        <v>2800</v>
      </c>
      <c r="E8" s="13" t="n">
        <f aca="false">E6*E7</f>
        <v>6000</v>
      </c>
      <c r="F8" s="13" t="n">
        <f aca="false">F6*F7</f>
        <v>11500</v>
      </c>
      <c r="G8" s="13" t="n">
        <f aca="false">G6*G7</f>
        <v>16000</v>
      </c>
      <c r="H8" s="13" t="n">
        <f aca="false">H6*H7</f>
        <v>20500</v>
      </c>
      <c r="I8" s="13" t="n">
        <f aca="false">I6*I7</f>
        <v>25000</v>
      </c>
      <c r="J8" s="13" t="n">
        <f aca="false">J6*J7</f>
        <v>38499.78</v>
      </c>
      <c r="K8" s="13" t="n">
        <f aca="false">K6*K7</f>
        <v>48416.39</v>
      </c>
      <c r="L8" s="13" t="n">
        <f aca="false">L6*L7</f>
        <v>58916.33</v>
      </c>
      <c r="M8" s="13" t="n">
        <f aca="false">M6*M7</f>
        <v>69999.6</v>
      </c>
      <c r="N8" s="22" t="n">
        <f aca="false">E8</f>
        <v>6000</v>
      </c>
      <c r="O8" s="22" t="n">
        <f aca="false">I8</f>
        <v>25000</v>
      </c>
      <c r="P8" s="22" t="n">
        <f aca="false">M8</f>
        <v>69999.6</v>
      </c>
    </row>
    <row r="9" customFormat="false" ht="15" hidden="false" customHeight="false" outlineLevel="0" collapsed="false">
      <c r="A9" s="2" t="s">
        <v>138</v>
      </c>
      <c r="B9" s="13" t="n">
        <f aca="false">B8/2</f>
        <v>0</v>
      </c>
      <c r="C9" s="13" t="n">
        <f aca="false">(B8+C8)/2</f>
        <v>400</v>
      </c>
      <c r="D9" s="13" t="n">
        <f aca="false">(C8+D8)/2</f>
        <v>1800</v>
      </c>
      <c r="E9" s="13" t="n">
        <f aca="false">(D8+E8)/2</f>
        <v>4400</v>
      </c>
      <c r="F9" s="13" t="n">
        <f aca="false">(E8+F8)/2</f>
        <v>8750</v>
      </c>
      <c r="G9" s="13" t="n">
        <f aca="false">(F8+G8)/2</f>
        <v>13750</v>
      </c>
      <c r="H9" s="13" t="n">
        <f aca="false">(G8+H8)/2</f>
        <v>18250</v>
      </c>
      <c r="I9" s="13" t="n">
        <f aca="false">(H8+I8)/2</f>
        <v>22750</v>
      </c>
      <c r="J9" s="13" t="n">
        <f aca="false">(I8+J8)/2</f>
        <v>31749.89</v>
      </c>
      <c r="K9" s="13" t="n">
        <f aca="false">(J8+K8)/2</f>
        <v>43458.085</v>
      </c>
      <c r="L9" s="13" t="n">
        <f aca="false">(K8+L8)/2</f>
        <v>53666.36</v>
      </c>
      <c r="M9" s="13" t="n">
        <f aca="false">(L8+M8)/2</f>
        <v>64457.965</v>
      </c>
      <c r="N9" s="22" t="n">
        <f aca="false">E9</f>
        <v>4400</v>
      </c>
      <c r="O9" s="22" t="n">
        <f aca="false">I9</f>
        <v>22750</v>
      </c>
      <c r="P9" s="22" t="n">
        <f aca="false">M9</f>
        <v>64457.965</v>
      </c>
    </row>
    <row r="10" customFormat="false" ht="15" hidden="false" customHeight="false" outlineLevel="0" collapsed="false">
      <c r="A10" s="3" t="s">
        <v>139</v>
      </c>
      <c r="N10" s="13" t="n">
        <f aca="false">SUM(B4:E4)-Hypothèses!B14</f>
        <v>0</v>
      </c>
      <c r="O10" s="13" t="n">
        <f aca="false">SUM(F4:I4)-Hypothèses!C14</f>
        <v>0</v>
      </c>
      <c r="P10" s="13" t="n">
        <f aca="false">SUM(J4:M4)-Hypothèses!D14</f>
        <v>0</v>
      </c>
    </row>
    <row r="11" customFormat="false" ht="15" hidden="false" customHeight="false" outlineLevel="0" collapsed="false">
      <c r="A11" s="4" t="s">
        <v>140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2" t="s">
        <v>141</v>
      </c>
      <c r="B12" s="24" t="n">
        <f aca="false">Hypothèses!B$11</f>
        <v>9.4</v>
      </c>
      <c r="C12" s="24" t="n">
        <f aca="false">Hypothèses!B$11</f>
        <v>9.4</v>
      </c>
      <c r="D12" s="24" t="n">
        <f aca="false">Hypothèses!B$11</f>
        <v>9.4</v>
      </c>
      <c r="E12" s="24" t="n">
        <f aca="false">Hypothèses!B$11</f>
        <v>9.4</v>
      </c>
      <c r="F12" s="24" t="n">
        <f aca="false">Hypothèses!C$11</f>
        <v>9.96</v>
      </c>
      <c r="G12" s="24" t="n">
        <f aca="false">Hypothèses!C$11</f>
        <v>9.96</v>
      </c>
      <c r="H12" s="24" t="n">
        <f aca="false">Hypothèses!C$11</f>
        <v>9.96</v>
      </c>
      <c r="I12" s="24" t="n">
        <f aca="false">Hypothèses!C$11</f>
        <v>9.96</v>
      </c>
      <c r="J12" s="24" t="n">
        <f aca="false">Hypothèses!D$11</f>
        <v>10.45</v>
      </c>
      <c r="K12" s="24" t="n">
        <f aca="false">Hypothèses!D$11</f>
        <v>10.45</v>
      </c>
      <c r="L12" s="24" t="n">
        <f aca="false">Hypothèses!D$11</f>
        <v>10.45</v>
      </c>
      <c r="M12" s="24" t="n">
        <f aca="false">Hypothèses!D$11</f>
        <v>10.45</v>
      </c>
      <c r="N12" s="25" t="n">
        <f aca="false">E12</f>
        <v>9.4</v>
      </c>
      <c r="O12" s="25" t="n">
        <f aca="false">I12</f>
        <v>9.96</v>
      </c>
      <c r="P12" s="25" t="n">
        <f aca="false">M12</f>
        <v>10.45</v>
      </c>
    </row>
    <row r="13" customFormat="false" ht="15" hidden="false" customHeight="false" outlineLevel="0" collapsed="false">
      <c r="A13" s="2" t="s">
        <v>142</v>
      </c>
      <c r="B13" s="26" t="n">
        <f aca="false">B9*B12*3</f>
        <v>0</v>
      </c>
      <c r="C13" s="26" t="n">
        <f aca="false">C9*C12*3</f>
        <v>11280</v>
      </c>
      <c r="D13" s="26" t="n">
        <f aca="false">D9*D12*3</f>
        <v>50760</v>
      </c>
      <c r="E13" s="26" t="n">
        <f aca="false">E9*E12*3</f>
        <v>124080</v>
      </c>
      <c r="F13" s="26" t="n">
        <f aca="false">F9*F12*3</f>
        <v>261450</v>
      </c>
      <c r="G13" s="26" t="n">
        <f aca="false">G9*G12*3</f>
        <v>410850</v>
      </c>
      <c r="H13" s="26" t="n">
        <f aca="false">H9*H12*3</f>
        <v>545310</v>
      </c>
      <c r="I13" s="26" t="n">
        <f aca="false">I9*I12*3</f>
        <v>679770</v>
      </c>
      <c r="J13" s="26" t="n">
        <f aca="false">J9*J12*3</f>
        <v>995359.0515</v>
      </c>
      <c r="K13" s="26" t="n">
        <f aca="false">K9*K12*3</f>
        <v>1362410.96475</v>
      </c>
      <c r="L13" s="26" t="n">
        <f aca="false">L9*L12*3</f>
        <v>1682440.386</v>
      </c>
      <c r="M13" s="26" t="n">
        <f aca="false">M9*M12*3</f>
        <v>2020757.20275</v>
      </c>
      <c r="N13" s="27" t="n">
        <f aca="false">SUM(B13:E13)</f>
        <v>186120</v>
      </c>
      <c r="O13" s="27" t="n">
        <f aca="false">SUM(F13:I13)</f>
        <v>1897380</v>
      </c>
      <c r="P13" s="27" t="n">
        <f aca="false">SUM(J13:M13)</f>
        <v>6060967.605</v>
      </c>
    </row>
    <row r="14" customFormat="false" ht="15" hidden="false" customHeight="false" outlineLevel="0" collapsed="false">
      <c r="A14" s="2" t="s">
        <v>143</v>
      </c>
      <c r="B14" s="28" t="n">
        <f aca="false">B4/Hypothèses!$B$7</f>
        <v>0</v>
      </c>
      <c r="C14" s="28" t="n">
        <f aca="false">C4/Hypothèses!$B$7</f>
        <v>3.33333333333333</v>
      </c>
      <c r="D14" s="28" t="n">
        <f aca="false">D4/Hypothèses!$B$7</f>
        <v>8.33333333333333</v>
      </c>
      <c r="E14" s="28" t="n">
        <f aca="false">E4/Hypothèses!$B$7</f>
        <v>13.3333333333333</v>
      </c>
      <c r="F14" s="28" t="n">
        <f aca="false">F4/Hypothèses!$B$7</f>
        <v>13.3333333333333</v>
      </c>
      <c r="G14" s="28" t="n">
        <f aca="false">G4/Hypothèses!$B$7</f>
        <v>15</v>
      </c>
      <c r="H14" s="28" t="n">
        <f aca="false">H4/Hypothèses!$B$7</f>
        <v>15</v>
      </c>
      <c r="I14" s="28" t="n">
        <f aca="false">I4/Hypothèses!$B$7</f>
        <v>16.6666666666667</v>
      </c>
      <c r="J14" s="28" t="n">
        <f aca="false">J4/Hypothèses!$B$7</f>
        <v>28.3333333333333</v>
      </c>
      <c r="K14" s="28" t="n">
        <f aca="false">K4/Hypothèses!$B$7</f>
        <v>30</v>
      </c>
      <c r="L14" s="28" t="n">
        <f aca="false">L4/Hypothèses!$B$7</f>
        <v>31.6666666666667</v>
      </c>
      <c r="M14" s="28" t="n">
        <f aca="false">M4/Hypothèses!$B$7</f>
        <v>35</v>
      </c>
      <c r="N14" s="17" t="n">
        <f aca="false">SUM(B14:E14)</f>
        <v>25</v>
      </c>
      <c r="O14" s="17" t="n">
        <f aca="false">SUM(F14:I14)</f>
        <v>60</v>
      </c>
      <c r="P14" s="17" t="n">
        <f aca="false">SUM(J14:M14)</f>
        <v>125</v>
      </c>
    </row>
    <row r="15" customFormat="false" ht="15" hidden="false" customHeight="false" outlineLevel="0" collapsed="false">
      <c r="A15" s="2" t="s">
        <v>144</v>
      </c>
      <c r="B15" s="26" t="n">
        <f aca="false">B14*(1-Hypothèses!$B$7)*B7*Hypothèses!$B$6*3</f>
        <v>0</v>
      </c>
      <c r="C15" s="26" t="n">
        <f aca="false">C14*(1-Hypothèses!$B$7)*C7*Hypothèses!$B$6*3</f>
        <v>6400</v>
      </c>
      <c r="D15" s="26" t="n">
        <f aca="false">D14*(1-Hypothèses!$B$7)*D7*Hypothèses!$B$6*3</f>
        <v>16000</v>
      </c>
      <c r="E15" s="26" t="n">
        <f aca="false">E14*(1-Hypothèses!$B$7)*E7*Hypothèses!$B$6*3</f>
        <v>25600</v>
      </c>
      <c r="F15" s="26" t="n">
        <f aca="false">F14*(1-Hypothèses!$B$7)*F7*Hypothèses!$B$6*3</f>
        <v>32000</v>
      </c>
      <c r="G15" s="26" t="n">
        <f aca="false">G14*(1-Hypothèses!$B$7)*G7*Hypothèses!$B$6*3</f>
        <v>36000</v>
      </c>
      <c r="H15" s="26" t="n">
        <f aca="false">H14*(1-Hypothèses!$B$7)*H7*Hypothèses!$B$6*3</f>
        <v>36000</v>
      </c>
      <c r="I15" s="26" t="n">
        <f aca="false">I14*(1-Hypothèses!$B$7)*I7*Hypothèses!$B$6*3</f>
        <v>40000</v>
      </c>
      <c r="J15" s="26" t="n">
        <f aca="false">J14*(1-Hypothèses!$B$7)*J7*Hypothèses!$B$6*3</f>
        <v>79332.88</v>
      </c>
      <c r="K15" s="26" t="n">
        <f aca="false">K14*(1-Hypothèses!$B$7)*K7*Hypothèses!$B$6*3</f>
        <v>83999.52</v>
      </c>
      <c r="L15" s="26" t="n">
        <f aca="false">L14*(1-Hypothèses!$B$7)*L7*Hypothèses!$B$6*3</f>
        <v>88666.16</v>
      </c>
      <c r="M15" s="26" t="n">
        <f aca="false">M14*(1-Hypothèses!$B$7)*M7*Hypothèses!$B$6*3</f>
        <v>97999.44</v>
      </c>
      <c r="N15" s="27" t="n">
        <f aca="false">SUM(B15:E15)</f>
        <v>48000</v>
      </c>
      <c r="O15" s="27" t="n">
        <f aca="false">SUM(F15:I15)</f>
        <v>144000</v>
      </c>
      <c r="P15" s="27" t="n">
        <f aca="false">SUM(J15:M15)</f>
        <v>349998</v>
      </c>
    </row>
    <row r="16" customFormat="false" ht="15" hidden="false" customHeight="false" outlineLevel="0" collapsed="false">
      <c r="A16" s="2" t="s">
        <v>145</v>
      </c>
      <c r="B16" s="26" t="n">
        <f aca="false">B9*Hypothèses!B$31/4*Hypothèses!$B$32</f>
        <v>0</v>
      </c>
      <c r="C16" s="26" t="n">
        <f aca="false">C9*Hypothèses!B$31/4*Hypothèses!$B$32</f>
        <v>330</v>
      </c>
      <c r="D16" s="26" t="n">
        <f aca="false">D9*Hypothèses!B$31/4*Hypothèses!$B$32</f>
        <v>1485</v>
      </c>
      <c r="E16" s="26" t="n">
        <f aca="false">E9*Hypothèses!B$31/4*Hypothèses!$B$32</f>
        <v>3630</v>
      </c>
      <c r="F16" s="26" t="n">
        <f aca="false">F9*Hypothèses!C$31/4*Hypothèses!$B$32</f>
        <v>12031.25</v>
      </c>
      <c r="G16" s="26" t="n">
        <f aca="false">G9*Hypothèses!C$31/4*Hypothèses!$B$32</f>
        <v>18906.25</v>
      </c>
      <c r="H16" s="26" t="n">
        <f aca="false">H9*Hypothèses!C$31/4*Hypothèses!$B$32</f>
        <v>25093.75</v>
      </c>
      <c r="I16" s="26" t="n">
        <f aca="false">I9*Hypothèses!C$31/4*Hypothèses!$B$32</f>
        <v>31281.25</v>
      </c>
      <c r="J16" s="26" t="n">
        <f aca="false">J9*Hypothèses!D$31/4*Hypothèses!$B$32</f>
        <v>52387.3185</v>
      </c>
      <c r="K16" s="26" t="n">
        <f aca="false">K9*Hypothèses!D$31/4*Hypothèses!$B$32</f>
        <v>71705.84025</v>
      </c>
      <c r="L16" s="26" t="n">
        <f aca="false">L9*Hypothèses!D$31/4*Hypothèses!$B$32</f>
        <v>88549.494</v>
      </c>
      <c r="M16" s="26" t="n">
        <f aca="false">M9*Hypothèses!D$31/4*Hypothèses!$B$32</f>
        <v>106355.64225</v>
      </c>
      <c r="N16" s="27" t="n">
        <f aca="false">SUM(B16:E16)</f>
        <v>5445</v>
      </c>
      <c r="O16" s="27" t="n">
        <f aca="false">SUM(F16:I16)</f>
        <v>87312.5</v>
      </c>
      <c r="P16" s="27" t="n">
        <f aca="false">SUM(J16:M16)</f>
        <v>318998.295</v>
      </c>
    </row>
    <row r="17" customFormat="false" ht="15" hidden="false" customHeight="false" outlineLevel="0" collapsed="false">
      <c r="A17" s="9" t="s">
        <v>146</v>
      </c>
      <c r="B17" s="29" t="n">
        <f aca="false">B13+B15+B16</f>
        <v>0</v>
      </c>
      <c r="C17" s="29" t="n">
        <f aca="false">C13+C15+C16</f>
        <v>18010</v>
      </c>
      <c r="D17" s="29" t="n">
        <f aca="false">D13+D15+D16</f>
        <v>68245</v>
      </c>
      <c r="E17" s="29" t="n">
        <f aca="false">E13+E15+E16</f>
        <v>153310</v>
      </c>
      <c r="F17" s="29" t="n">
        <f aca="false">F13+F15+F16</f>
        <v>305481.25</v>
      </c>
      <c r="G17" s="29" t="n">
        <f aca="false">G13+G15+G16</f>
        <v>465756.25</v>
      </c>
      <c r="H17" s="29" t="n">
        <f aca="false">H13+H15+H16</f>
        <v>606403.75</v>
      </c>
      <c r="I17" s="29" t="n">
        <f aca="false">I13+I15+I16</f>
        <v>751051.25</v>
      </c>
      <c r="J17" s="29" t="n">
        <f aca="false">J13+J15+J16</f>
        <v>1127079.25</v>
      </c>
      <c r="K17" s="29" t="n">
        <f aca="false">K13+K15+K16</f>
        <v>1518116.325</v>
      </c>
      <c r="L17" s="29" t="n">
        <f aca="false">L13+L15+L16</f>
        <v>1859656.04</v>
      </c>
      <c r="M17" s="29" t="n">
        <f aca="false">M13+M15+M16</f>
        <v>2225112.285</v>
      </c>
      <c r="N17" s="27" t="n">
        <f aca="false">SUM(B17:E17)</f>
        <v>239565</v>
      </c>
      <c r="O17" s="27" t="n">
        <f aca="false">SUM(F17:I17)</f>
        <v>2128692.5</v>
      </c>
      <c r="P17" s="27" t="n">
        <f aca="false">SUM(J17:M17)</f>
        <v>6729963.9</v>
      </c>
    </row>
    <row r="18" customFormat="false" ht="15" hidden="false" customHeight="false" outlineLevel="0" collapsed="false">
      <c r="A18" s="4" t="s">
        <v>147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15" hidden="false" customHeight="false" outlineLevel="0" collapsed="false">
      <c r="A19" s="2" t="s">
        <v>148</v>
      </c>
      <c r="B19" s="26" t="n">
        <f aca="false">B9*Hypothèses!B$36*3</f>
        <v>0</v>
      </c>
      <c r="C19" s="26" t="n">
        <f aca="false">C9*Hypothèses!B$36*3</f>
        <v>1080</v>
      </c>
      <c r="D19" s="26" t="n">
        <f aca="false">D9*Hypothèses!B$36*3</f>
        <v>4860</v>
      </c>
      <c r="E19" s="26" t="n">
        <f aca="false">E9*Hypothèses!B$36*3</f>
        <v>11880</v>
      </c>
      <c r="F19" s="26" t="n">
        <f aca="false">F9*Hypothèses!C$36*3</f>
        <v>21000</v>
      </c>
      <c r="G19" s="26" t="n">
        <f aca="false">G9*Hypothèses!C$36*3</f>
        <v>33000</v>
      </c>
      <c r="H19" s="26" t="n">
        <f aca="false">H9*Hypothèses!C$36*3</f>
        <v>43800</v>
      </c>
      <c r="I19" s="26" t="n">
        <f aca="false">I9*Hypothèses!C$36*3</f>
        <v>54600</v>
      </c>
      <c r="J19" s="26" t="n">
        <f aca="false">J9*Hypothèses!D$36*3</f>
        <v>66674.769</v>
      </c>
      <c r="K19" s="26" t="n">
        <f aca="false">K9*Hypothèses!D$36*3</f>
        <v>91261.9785</v>
      </c>
      <c r="L19" s="26" t="n">
        <f aca="false">L9*Hypothèses!D$36*3</f>
        <v>112699.356</v>
      </c>
      <c r="M19" s="26" t="n">
        <f aca="false">M9*Hypothèses!D$36*3</f>
        <v>135361.7265</v>
      </c>
      <c r="N19" s="27" t="n">
        <f aca="false">SUM(B19:E19)</f>
        <v>17820</v>
      </c>
      <c r="O19" s="27" t="n">
        <f aca="false">SUM(F19:I19)</f>
        <v>152400</v>
      </c>
      <c r="P19" s="27" t="n">
        <f aca="false">SUM(J19:M19)</f>
        <v>405997.83</v>
      </c>
    </row>
    <row r="20" customFormat="false" ht="15" hidden="false" customHeight="false" outlineLevel="0" collapsed="false">
      <c r="A20" s="2" t="s">
        <v>149</v>
      </c>
      <c r="B20" s="26" t="n">
        <f aca="false">B9*Hypothèses!$B$37*3</f>
        <v>0</v>
      </c>
      <c r="C20" s="26" t="n">
        <f aca="false">C9*Hypothèses!$B$37*3</f>
        <v>480</v>
      </c>
      <c r="D20" s="26" t="n">
        <f aca="false">D9*Hypothèses!$B$37*3</f>
        <v>2160</v>
      </c>
      <c r="E20" s="26" t="n">
        <f aca="false">E9*Hypothèses!$B$37*3</f>
        <v>5280</v>
      </c>
      <c r="F20" s="26" t="n">
        <f aca="false">F9*Hypothèses!$B$37*3</f>
        <v>10500</v>
      </c>
      <c r="G20" s="26" t="n">
        <f aca="false">G9*Hypothèses!$B$37*3</f>
        <v>16500</v>
      </c>
      <c r="H20" s="26" t="n">
        <f aca="false">H9*Hypothèses!$B$37*3</f>
        <v>21900</v>
      </c>
      <c r="I20" s="26" t="n">
        <f aca="false">I9*Hypothèses!$B$37*3</f>
        <v>27300</v>
      </c>
      <c r="J20" s="26" t="n">
        <f aca="false">J9*Hypothèses!$B$37*3</f>
        <v>38099.868</v>
      </c>
      <c r="K20" s="26" t="n">
        <f aca="false">K9*Hypothèses!$B$37*3</f>
        <v>52149.702</v>
      </c>
      <c r="L20" s="26" t="n">
        <f aca="false">L9*Hypothèses!$B$37*3</f>
        <v>64399.632</v>
      </c>
      <c r="M20" s="26" t="n">
        <f aca="false">M9*Hypothèses!$B$37*3</f>
        <v>77349.558</v>
      </c>
      <c r="N20" s="27" t="n">
        <f aca="false">SUM(B20:E20)</f>
        <v>7920</v>
      </c>
      <c r="O20" s="27" t="n">
        <f aca="false">SUM(F20:I20)</f>
        <v>76200</v>
      </c>
      <c r="P20" s="27" t="n">
        <f aca="false">SUM(J20:M20)</f>
        <v>231998.76</v>
      </c>
    </row>
    <row r="21" customFormat="false" ht="15" hidden="false" customHeight="false" outlineLevel="0" collapsed="false">
      <c r="A21" s="2" t="s">
        <v>150</v>
      </c>
      <c r="B21" s="26" t="n">
        <f aca="false">B9*Hypothèses!B$10*Hypothèses!$B$38*3</f>
        <v>0</v>
      </c>
      <c r="C21" s="26" t="n">
        <f aca="false">C9*Hypothèses!B$10*Hypothèses!$B$38*3</f>
        <v>456</v>
      </c>
      <c r="D21" s="26" t="n">
        <f aca="false">D9*Hypothèses!B$10*Hypothèses!$B$38*3</f>
        <v>2052</v>
      </c>
      <c r="E21" s="26" t="n">
        <f aca="false">E9*Hypothèses!B$10*Hypothèses!$B$38*3</f>
        <v>5016</v>
      </c>
      <c r="F21" s="26" t="n">
        <f aca="false">F9*Hypothèses!C$10*Hypothèses!$B$38*3</f>
        <v>13965</v>
      </c>
      <c r="G21" s="26" t="n">
        <f aca="false">G9*Hypothèses!C$10*Hypothèses!$B$38*3</f>
        <v>21945</v>
      </c>
      <c r="H21" s="26" t="n">
        <f aca="false">H9*Hypothèses!C$10*Hypothèses!$B$38*3</f>
        <v>29127</v>
      </c>
      <c r="I21" s="26" t="n">
        <f aca="false">I9*Hypothèses!C$10*Hypothèses!$B$38*3</f>
        <v>36309</v>
      </c>
      <c r="J21" s="26" t="n">
        <f aca="false">J9*Hypothèses!D$10*Hypothèses!$B$38*3</f>
        <v>63341.03055</v>
      </c>
      <c r="K21" s="26" t="n">
        <f aca="false">K9*Hypothèses!D$10*Hypothèses!$B$38*3</f>
        <v>86698.879575</v>
      </c>
      <c r="L21" s="26" t="n">
        <f aca="false">L9*Hypothèses!D$10*Hypothèses!$B$38*3</f>
        <v>107064.3882</v>
      </c>
      <c r="M21" s="26" t="n">
        <f aca="false">M9*Hypothèses!D$10*Hypothèses!$B$38*3</f>
        <v>128593.640175</v>
      </c>
      <c r="N21" s="27" t="n">
        <f aca="false">SUM(B21:E21)</f>
        <v>7524</v>
      </c>
      <c r="O21" s="27" t="n">
        <f aca="false">SUM(F21:I21)</f>
        <v>101346</v>
      </c>
      <c r="P21" s="27" t="n">
        <f aca="false">SUM(J21:M21)</f>
        <v>385697.9385</v>
      </c>
    </row>
    <row r="22" customFormat="false" ht="15" hidden="false" customHeight="false" outlineLevel="0" collapsed="false">
      <c r="A22" s="2" t="s">
        <v>151</v>
      </c>
      <c r="B22" s="26" t="n">
        <f aca="false">B17*Hypothèses!$B$39</f>
        <v>0</v>
      </c>
      <c r="C22" s="26" t="n">
        <f aca="false">C17*Hypothèses!$B$39</f>
        <v>270.15</v>
      </c>
      <c r="D22" s="26" t="n">
        <f aca="false">D17*Hypothèses!$B$39</f>
        <v>1023.675</v>
      </c>
      <c r="E22" s="26" t="n">
        <f aca="false">E17*Hypothèses!$B$39</f>
        <v>2299.65</v>
      </c>
      <c r="F22" s="26" t="n">
        <f aca="false">F17*Hypothèses!$B$39</f>
        <v>4582.21875</v>
      </c>
      <c r="G22" s="26" t="n">
        <f aca="false">G17*Hypothèses!$B$39</f>
        <v>6986.34375</v>
      </c>
      <c r="H22" s="26" t="n">
        <f aca="false">H17*Hypothèses!$B$39</f>
        <v>9096.05625</v>
      </c>
      <c r="I22" s="26" t="n">
        <f aca="false">I17*Hypothèses!$B$39</f>
        <v>11265.76875</v>
      </c>
      <c r="J22" s="26" t="n">
        <f aca="false">J17*Hypothèses!$B$39</f>
        <v>16906.18875</v>
      </c>
      <c r="K22" s="26" t="n">
        <f aca="false">K17*Hypothèses!$B$39</f>
        <v>22771.744875</v>
      </c>
      <c r="L22" s="26" t="n">
        <f aca="false">L17*Hypothèses!$B$39</f>
        <v>27894.8406</v>
      </c>
      <c r="M22" s="26" t="n">
        <f aca="false">M17*Hypothèses!$B$39</f>
        <v>33376.684275</v>
      </c>
      <c r="N22" s="27" t="n">
        <f aca="false">SUM(B22:E22)</f>
        <v>3593.475</v>
      </c>
      <c r="O22" s="27" t="n">
        <f aca="false">SUM(F22:I22)</f>
        <v>31930.3875</v>
      </c>
      <c r="P22" s="27" t="n">
        <f aca="false">SUM(J22:M22)</f>
        <v>100949.4585</v>
      </c>
    </row>
    <row r="23" customFormat="false" ht="15" hidden="false" customHeight="false" outlineLevel="0" collapsed="false">
      <c r="A23" s="2" t="s">
        <v>152</v>
      </c>
      <c r="B23" s="26" t="n">
        <f aca="false">B16*Hypothèses!$B$33</f>
        <v>0</v>
      </c>
      <c r="C23" s="26" t="n">
        <f aca="false">C16*Hypothèses!$B$33</f>
        <v>214.5</v>
      </c>
      <c r="D23" s="26" t="n">
        <f aca="false">D16*Hypothèses!$B$33</f>
        <v>965.25</v>
      </c>
      <c r="E23" s="26" t="n">
        <f aca="false">E16*Hypothèses!$B$33</f>
        <v>2359.5</v>
      </c>
      <c r="F23" s="26" t="n">
        <f aca="false">F16*Hypothèses!$B$33</f>
        <v>7820.3125</v>
      </c>
      <c r="G23" s="26" t="n">
        <f aca="false">G16*Hypothèses!$B$33</f>
        <v>12289.0625</v>
      </c>
      <c r="H23" s="26" t="n">
        <f aca="false">H16*Hypothèses!$B$33</f>
        <v>16310.9375</v>
      </c>
      <c r="I23" s="26" t="n">
        <f aca="false">I16*Hypothèses!$B$33</f>
        <v>20332.8125</v>
      </c>
      <c r="J23" s="26" t="n">
        <f aca="false">J16*Hypothèses!$B$33</f>
        <v>34051.757025</v>
      </c>
      <c r="K23" s="26" t="n">
        <f aca="false">K16*Hypothèses!$B$33</f>
        <v>46608.7961625</v>
      </c>
      <c r="L23" s="26" t="n">
        <f aca="false">L16*Hypothèses!$B$33</f>
        <v>57557.1711</v>
      </c>
      <c r="M23" s="26" t="n">
        <f aca="false">M16*Hypothèses!$B$33</f>
        <v>69131.1674625</v>
      </c>
      <c r="N23" s="27" t="n">
        <f aca="false">SUM(B23:E23)</f>
        <v>3539.25</v>
      </c>
      <c r="O23" s="27" t="n">
        <f aca="false">SUM(F23:I23)</f>
        <v>56753.125</v>
      </c>
      <c r="P23" s="27" t="n">
        <f aca="false">SUM(J23:M23)</f>
        <v>207348.89175</v>
      </c>
    </row>
    <row r="24" customFormat="false" ht="15" hidden="false" customHeight="false" outlineLevel="0" collapsed="false">
      <c r="A24" s="9" t="s">
        <v>153</v>
      </c>
      <c r="B24" s="27" t="n">
        <f aca="false">SUM(B19:B23)</f>
        <v>0</v>
      </c>
      <c r="C24" s="27" t="n">
        <f aca="false">SUM(C19:C23)</f>
        <v>2500.65</v>
      </c>
      <c r="D24" s="27" t="n">
        <f aca="false">SUM(D19:D23)</f>
        <v>11060.925</v>
      </c>
      <c r="E24" s="27" t="n">
        <f aca="false">SUM(E19:E23)</f>
        <v>26835.15</v>
      </c>
      <c r="F24" s="27" t="n">
        <f aca="false">SUM(F19:F23)</f>
        <v>57867.53125</v>
      </c>
      <c r="G24" s="27" t="n">
        <f aca="false">SUM(G19:G23)</f>
        <v>90720.40625</v>
      </c>
      <c r="H24" s="27" t="n">
        <f aca="false">SUM(H19:H23)</f>
        <v>120233.99375</v>
      </c>
      <c r="I24" s="27" t="n">
        <f aca="false">SUM(I19:I23)</f>
        <v>149807.58125</v>
      </c>
      <c r="J24" s="27" t="n">
        <f aca="false">SUM(J19:J23)</f>
        <v>219073.613325</v>
      </c>
      <c r="K24" s="27" t="n">
        <f aca="false">SUM(K19:K23)</f>
        <v>299491.1011125</v>
      </c>
      <c r="L24" s="27" t="n">
        <f aca="false">SUM(L19:L23)</f>
        <v>369615.3879</v>
      </c>
      <c r="M24" s="27" t="n">
        <f aca="false">SUM(M19:M23)</f>
        <v>443812.7764125</v>
      </c>
      <c r="N24" s="27" t="n">
        <f aca="false">SUM(B24:E24)</f>
        <v>40396.725</v>
      </c>
      <c r="O24" s="27" t="n">
        <f aca="false">SUM(F24:I24)</f>
        <v>418629.5125</v>
      </c>
      <c r="P24" s="27" t="n">
        <f aca="false">SUM(J24:M24)</f>
        <v>1331992.87875</v>
      </c>
    </row>
    <row r="25" customFormat="false" ht="15" hidden="false" customHeight="false" outlineLevel="0" collapsed="false">
      <c r="A25" s="9" t="s">
        <v>154</v>
      </c>
      <c r="B25" s="29" t="n">
        <f aca="false">B17-B24</f>
        <v>0</v>
      </c>
      <c r="C25" s="29" t="n">
        <f aca="false">C17-C24</f>
        <v>15509.35</v>
      </c>
      <c r="D25" s="29" t="n">
        <f aca="false">D17-D24</f>
        <v>57184.075</v>
      </c>
      <c r="E25" s="29" t="n">
        <f aca="false">E17-E24</f>
        <v>126474.85</v>
      </c>
      <c r="F25" s="29" t="n">
        <f aca="false">F17-F24</f>
        <v>247613.71875</v>
      </c>
      <c r="G25" s="29" t="n">
        <f aca="false">G17-G24</f>
        <v>375035.84375</v>
      </c>
      <c r="H25" s="29" t="n">
        <f aca="false">H17-H24</f>
        <v>486169.75625</v>
      </c>
      <c r="I25" s="29" t="n">
        <f aca="false">I17-I24</f>
        <v>601243.66875</v>
      </c>
      <c r="J25" s="29" t="n">
        <f aca="false">J17-J24</f>
        <v>908005.636675</v>
      </c>
      <c r="K25" s="29" t="n">
        <f aca="false">K17-K24</f>
        <v>1218625.2238875</v>
      </c>
      <c r="L25" s="29" t="n">
        <f aca="false">L17-L24</f>
        <v>1490040.6521</v>
      </c>
      <c r="M25" s="29" t="n">
        <f aca="false">M17-M24</f>
        <v>1781299.5085875</v>
      </c>
      <c r="N25" s="27" t="n">
        <f aca="false">SUM(B25:E25)</f>
        <v>199168.275</v>
      </c>
      <c r="O25" s="27" t="n">
        <f aca="false">SUM(F25:I25)</f>
        <v>1710062.9875</v>
      </c>
      <c r="P25" s="27" t="n">
        <f aca="false">SUM(J25:M25)</f>
        <v>5397971.02125</v>
      </c>
    </row>
    <row r="26" customFormat="false" ht="15" hidden="false" customHeight="false" outlineLevel="0" collapsed="false">
      <c r="A26" s="2" t="s">
        <v>155</v>
      </c>
      <c r="B26" s="30" t="str">
        <f aca="false">IFERROR(B25/B17,"")</f>
        <v/>
      </c>
      <c r="C26" s="30" t="n">
        <f aca="false">IFERROR(C25/C17,"")</f>
        <v>0.861152137701277</v>
      </c>
      <c r="D26" s="30" t="n">
        <f aca="false">IFERROR(D25/D17,"")</f>
        <v>0.837923291083596</v>
      </c>
      <c r="E26" s="30" t="n">
        <f aca="false">IFERROR(E25/E17,"")</f>
        <v>0.824961515882852</v>
      </c>
      <c r="F26" s="30" t="n">
        <f aca="false">IFERROR(F25/F17,"")</f>
        <v>0.810569286167318</v>
      </c>
      <c r="G26" s="30" t="n">
        <f aca="false">IFERROR(G25/G17,"")</f>
        <v>0.805219132861878</v>
      </c>
      <c r="H26" s="30" t="n">
        <f aca="false">IFERROR(H25/H17,"")</f>
        <v>0.801726170476353</v>
      </c>
      <c r="I26" s="30" t="n">
        <f aca="false">IFERROR(I25/I17,"")</f>
        <v>0.800536140176852</v>
      </c>
      <c r="J26" s="30" t="n">
        <f aca="false">IFERROR(J25/J17,"")</f>
        <v>0.805627143499448</v>
      </c>
      <c r="K26" s="30" t="n">
        <f aca="false">IFERROR(K25/K17,"")</f>
        <v>0.802721902017291</v>
      </c>
      <c r="L26" s="30" t="n">
        <f aca="false">IFERROR(L25/L17,"")</f>
        <v>0.801245294855709</v>
      </c>
      <c r="M26" s="30" t="n">
        <f aca="false">IFERROR(M25/M17,"")</f>
        <v>0.800543649233189</v>
      </c>
      <c r="N26" s="31" t="n">
        <f aca="false">IFERROR(N25/N17,"")</f>
        <v>0.83137467910588</v>
      </c>
      <c r="O26" s="31" t="n">
        <f aca="false">IFERROR(O25/O17,"")</f>
        <v>0.803339602831315</v>
      </c>
      <c r="P26" s="31" t="n">
        <f aca="false">IFERROR(P25/P17,"")</f>
        <v>0.802080234226814</v>
      </c>
    </row>
    <row r="27" customFormat="false" ht="15" hidden="false" customHeight="false" outlineLevel="0" collapsed="false">
      <c r="A27" s="4" t="s">
        <v>156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15" hidden="false" customHeight="false" outlineLevel="0" collapsed="false">
      <c r="A28" s="2" t="s">
        <v>157</v>
      </c>
      <c r="B28" s="26" t="n">
        <f aca="false">Hypothèses!C$54/4*1000</f>
        <v>64685</v>
      </c>
      <c r="C28" s="26" t="n">
        <f aca="false">Hypothèses!C$54/4*1000</f>
        <v>64685</v>
      </c>
      <c r="D28" s="26" t="n">
        <f aca="false">Hypothèses!C$54/4*1000</f>
        <v>64685</v>
      </c>
      <c r="E28" s="26" t="n">
        <f aca="false">Hypothèses!C$54/4*1000</f>
        <v>64685</v>
      </c>
      <c r="F28" s="26" t="n">
        <f aca="false">Hypothèses!D$54/4*1000</f>
        <v>241500</v>
      </c>
      <c r="G28" s="26" t="n">
        <f aca="false">Hypothèses!D$54/4*1000</f>
        <v>241500</v>
      </c>
      <c r="H28" s="26" t="n">
        <f aca="false">Hypothèses!D$54/4*1000</f>
        <v>241500</v>
      </c>
      <c r="I28" s="26" t="n">
        <f aca="false">Hypothèses!D$54/4*1000</f>
        <v>241500</v>
      </c>
      <c r="J28" s="26" t="n">
        <f aca="false">Hypothèses!E$54/4*1000</f>
        <v>490375</v>
      </c>
      <c r="K28" s="26" t="n">
        <f aca="false">Hypothèses!E$54/4*1000</f>
        <v>490375</v>
      </c>
      <c r="L28" s="26" t="n">
        <f aca="false">Hypothèses!E$54/4*1000</f>
        <v>490375</v>
      </c>
      <c r="M28" s="26" t="n">
        <f aca="false">Hypothèses!E$54/4*1000</f>
        <v>490375</v>
      </c>
      <c r="N28" s="27" t="n">
        <f aca="false">SUM(B28:E28)</f>
        <v>258740</v>
      </c>
      <c r="O28" s="27" t="n">
        <f aca="false">SUM(F28:I28)</f>
        <v>966000</v>
      </c>
      <c r="P28" s="27" t="n">
        <f aca="false">SUM(J28:M28)</f>
        <v>1961500</v>
      </c>
    </row>
    <row r="29" customFormat="false" ht="15" hidden="false" customHeight="false" outlineLevel="0" collapsed="false">
      <c r="A29" s="2" t="s">
        <v>158</v>
      </c>
      <c r="B29" s="26" t="n">
        <f aca="false">Hypothèses!B$57/4*1000</f>
        <v>75000</v>
      </c>
      <c r="C29" s="26" t="n">
        <f aca="false">Hypothèses!B$57/4*1000</f>
        <v>75000</v>
      </c>
      <c r="D29" s="26" t="n">
        <f aca="false">Hypothèses!B$57/4*1000</f>
        <v>75000</v>
      </c>
      <c r="E29" s="26" t="n">
        <f aca="false">Hypothèses!B$57/4*1000</f>
        <v>75000</v>
      </c>
      <c r="F29" s="26" t="n">
        <f aca="false">Hypothèses!C$57/4*1000</f>
        <v>87500</v>
      </c>
      <c r="G29" s="26" t="n">
        <f aca="false">Hypothèses!C$57/4*1000</f>
        <v>87500</v>
      </c>
      <c r="H29" s="26" t="n">
        <f aca="false">Hypothèses!C$57/4*1000</f>
        <v>87500</v>
      </c>
      <c r="I29" s="26" t="n">
        <f aca="false">Hypothèses!C$57/4*1000</f>
        <v>87500</v>
      </c>
      <c r="J29" s="26" t="n">
        <f aca="false">Hypothèses!D$57/4*1000</f>
        <v>37500</v>
      </c>
      <c r="K29" s="26" t="n">
        <f aca="false">Hypothèses!D$57/4*1000</f>
        <v>37500</v>
      </c>
      <c r="L29" s="26" t="n">
        <f aca="false">Hypothèses!D$57/4*1000</f>
        <v>37500</v>
      </c>
      <c r="M29" s="26" t="n">
        <f aca="false">Hypothèses!D$57/4*1000</f>
        <v>37500</v>
      </c>
      <c r="N29" s="27" t="n">
        <f aca="false">SUM(B29:E29)</f>
        <v>300000</v>
      </c>
      <c r="O29" s="27" t="n">
        <f aca="false">SUM(F29:I29)</f>
        <v>350000</v>
      </c>
      <c r="P29" s="27" t="n">
        <f aca="false">SUM(J29:M29)</f>
        <v>150000</v>
      </c>
    </row>
    <row r="30" customFormat="false" ht="15" hidden="false" customHeight="false" outlineLevel="0" collapsed="false">
      <c r="A30" s="2" t="s">
        <v>159</v>
      </c>
      <c r="B30" s="26" t="n">
        <f aca="false">Hypothèses!B$58/4*1000</f>
        <v>15000</v>
      </c>
      <c r="C30" s="26" t="n">
        <f aca="false">Hypothèses!B$58/4*1000</f>
        <v>15000</v>
      </c>
      <c r="D30" s="26" t="n">
        <f aca="false">Hypothèses!B$58/4*1000</f>
        <v>15000</v>
      </c>
      <c r="E30" s="26" t="n">
        <f aca="false">Hypothèses!B$58/4*1000</f>
        <v>15000</v>
      </c>
      <c r="F30" s="26" t="n">
        <f aca="false">Hypothèses!C$58/4*1000</f>
        <v>75000</v>
      </c>
      <c r="G30" s="26" t="n">
        <f aca="false">Hypothèses!C$58/4*1000</f>
        <v>75000</v>
      </c>
      <c r="H30" s="26" t="n">
        <f aca="false">Hypothèses!C$58/4*1000</f>
        <v>75000</v>
      </c>
      <c r="I30" s="26" t="n">
        <f aca="false">Hypothèses!C$58/4*1000</f>
        <v>75000</v>
      </c>
      <c r="J30" s="26" t="n">
        <f aca="false">Hypothèses!D$58/4*1000</f>
        <v>175000</v>
      </c>
      <c r="K30" s="26" t="n">
        <f aca="false">Hypothèses!D$58/4*1000</f>
        <v>175000</v>
      </c>
      <c r="L30" s="26" t="n">
        <f aca="false">Hypothèses!D$58/4*1000</f>
        <v>175000</v>
      </c>
      <c r="M30" s="26" t="n">
        <f aca="false">Hypothèses!D$58/4*1000</f>
        <v>175000</v>
      </c>
      <c r="N30" s="27" t="n">
        <f aca="false">SUM(B30:E30)</f>
        <v>60000</v>
      </c>
      <c r="O30" s="27" t="n">
        <f aca="false">SUM(F30:I30)</f>
        <v>300000</v>
      </c>
      <c r="P30" s="27" t="n">
        <f aca="false">SUM(J30:M30)</f>
        <v>700000</v>
      </c>
    </row>
    <row r="31" customFormat="false" ht="15" hidden="false" customHeight="false" outlineLevel="0" collapsed="false">
      <c r="A31" s="2" t="s">
        <v>160</v>
      </c>
      <c r="B31" s="26" t="n">
        <f aca="false">B13*Hypothèses!B$59</f>
        <v>0</v>
      </c>
      <c r="C31" s="26" t="n">
        <f aca="false">C13*Hypothèses!B$59</f>
        <v>0</v>
      </c>
      <c r="D31" s="26" t="n">
        <f aca="false">D13*Hypothèses!B$59</f>
        <v>0</v>
      </c>
      <c r="E31" s="26" t="n">
        <f aca="false">E13*Hypothèses!B$59</f>
        <v>0</v>
      </c>
      <c r="F31" s="26" t="n">
        <f aca="false">F13*Hypothèses!C$59</f>
        <v>5229</v>
      </c>
      <c r="G31" s="26" t="n">
        <f aca="false">G13*Hypothèses!C$59</f>
        <v>8217</v>
      </c>
      <c r="H31" s="26" t="n">
        <f aca="false">H13*Hypothèses!C$59</f>
        <v>10906.2</v>
      </c>
      <c r="I31" s="26" t="n">
        <f aca="false">I13*Hypothèses!C$59</f>
        <v>13595.4</v>
      </c>
      <c r="J31" s="26" t="n">
        <f aca="false">J13*Hypothèses!D$59</f>
        <v>37325.96443125</v>
      </c>
      <c r="K31" s="26" t="n">
        <f aca="false">K13*Hypothèses!D$59</f>
        <v>51090.411178125</v>
      </c>
      <c r="L31" s="26" t="n">
        <f aca="false">L13*Hypothèses!D$59</f>
        <v>63091.514475</v>
      </c>
      <c r="M31" s="26" t="n">
        <f aca="false">M13*Hypothèses!D$59</f>
        <v>75778.395103125</v>
      </c>
      <c r="N31" s="27" t="n">
        <f aca="false">SUM(B31:E31)</f>
        <v>0</v>
      </c>
      <c r="O31" s="27" t="n">
        <f aca="false">SUM(F31:I31)</f>
        <v>37947.6</v>
      </c>
      <c r="P31" s="27" t="n">
        <f aca="false">SUM(J31:M31)</f>
        <v>227286.2851875</v>
      </c>
    </row>
    <row r="32" customFormat="false" ht="15" hidden="false" customHeight="false" outlineLevel="0" collapsed="false">
      <c r="A32" s="2" t="s">
        <v>161</v>
      </c>
      <c r="B32" s="26" t="n">
        <f aca="false">Hypothèses!B$60/4*1000</f>
        <v>11250</v>
      </c>
      <c r="C32" s="26" t="n">
        <f aca="false">Hypothèses!B$60/4*1000</f>
        <v>11250</v>
      </c>
      <c r="D32" s="26" t="n">
        <f aca="false">Hypothèses!B$60/4*1000</f>
        <v>11250</v>
      </c>
      <c r="E32" s="26" t="n">
        <f aca="false">Hypothèses!B$60/4*1000</f>
        <v>11250</v>
      </c>
      <c r="F32" s="26" t="n">
        <f aca="false">Hypothèses!C$60/4*1000</f>
        <v>13750</v>
      </c>
      <c r="G32" s="26" t="n">
        <f aca="false">Hypothèses!C$60/4*1000</f>
        <v>13750</v>
      </c>
      <c r="H32" s="26" t="n">
        <f aca="false">Hypothèses!C$60/4*1000</f>
        <v>13750</v>
      </c>
      <c r="I32" s="26" t="n">
        <f aca="false">Hypothèses!C$60/4*1000</f>
        <v>13750</v>
      </c>
      <c r="J32" s="26" t="n">
        <f aca="false">Hypothèses!D$60/4*1000</f>
        <v>20000</v>
      </c>
      <c r="K32" s="26" t="n">
        <f aca="false">Hypothèses!D$60/4*1000</f>
        <v>20000</v>
      </c>
      <c r="L32" s="26" t="n">
        <f aca="false">Hypothèses!D$60/4*1000</f>
        <v>20000</v>
      </c>
      <c r="M32" s="26" t="n">
        <f aca="false">Hypothèses!D$60/4*1000</f>
        <v>20000</v>
      </c>
      <c r="N32" s="27" t="n">
        <f aca="false">SUM(B32:E32)</f>
        <v>45000</v>
      </c>
      <c r="O32" s="27" t="n">
        <f aca="false">SUM(F32:I32)</f>
        <v>55000</v>
      </c>
      <c r="P32" s="27" t="n">
        <f aca="false">SUM(J32:M32)</f>
        <v>80000</v>
      </c>
    </row>
    <row r="33" customFormat="false" ht="15" hidden="false" customHeight="false" outlineLevel="0" collapsed="false">
      <c r="A33" s="2" t="s">
        <v>162</v>
      </c>
      <c r="B33" s="26" t="n">
        <f aca="false">Hypothèses!B$61/4*1000</f>
        <v>12500</v>
      </c>
      <c r="C33" s="26" t="n">
        <f aca="false">Hypothèses!B$61/4*1000</f>
        <v>12500</v>
      </c>
      <c r="D33" s="26" t="n">
        <f aca="false">Hypothèses!B$61/4*1000</f>
        <v>12500</v>
      </c>
      <c r="E33" s="26" t="n">
        <f aca="false">Hypothèses!B$61/4*1000</f>
        <v>12500</v>
      </c>
      <c r="F33" s="26" t="n">
        <f aca="false">Hypothèses!C$61/4*1000</f>
        <v>27500</v>
      </c>
      <c r="G33" s="26" t="n">
        <f aca="false">Hypothèses!C$61/4*1000</f>
        <v>27500</v>
      </c>
      <c r="H33" s="26" t="n">
        <f aca="false">Hypothèses!C$61/4*1000</f>
        <v>27500</v>
      </c>
      <c r="I33" s="26" t="n">
        <f aca="false">Hypothèses!C$61/4*1000</f>
        <v>27500</v>
      </c>
      <c r="J33" s="26" t="n">
        <f aca="false">Hypothèses!D$61/4*1000</f>
        <v>55000</v>
      </c>
      <c r="K33" s="26" t="n">
        <f aca="false">Hypothèses!D$61/4*1000</f>
        <v>55000</v>
      </c>
      <c r="L33" s="26" t="n">
        <f aca="false">Hypothèses!D$61/4*1000</f>
        <v>55000</v>
      </c>
      <c r="M33" s="26" t="n">
        <f aca="false">Hypothèses!D$61/4*1000</f>
        <v>55000</v>
      </c>
      <c r="N33" s="27" t="n">
        <f aca="false">SUM(B33:E33)</f>
        <v>50000</v>
      </c>
      <c r="O33" s="27" t="n">
        <f aca="false">SUM(F33:I33)</f>
        <v>110000</v>
      </c>
      <c r="P33" s="27" t="n">
        <f aca="false">SUM(J33:M33)</f>
        <v>220000</v>
      </c>
    </row>
    <row r="34" customFormat="false" ht="15" hidden="false" customHeight="false" outlineLevel="0" collapsed="false">
      <c r="A34" s="2" t="s">
        <v>163</v>
      </c>
      <c r="B34" s="26" t="n">
        <f aca="false">(Hypothèses!B$62+Hypothèses!B$63)/4*1000</f>
        <v>3750</v>
      </c>
      <c r="C34" s="26" t="n">
        <f aca="false">(Hypothèses!B$62+Hypothèses!B$63)/4*1000</f>
        <v>3750</v>
      </c>
      <c r="D34" s="26" t="n">
        <f aca="false">(Hypothèses!B$62+Hypothèses!B$63)/4*1000</f>
        <v>3750</v>
      </c>
      <c r="E34" s="26" t="n">
        <f aca="false">(Hypothèses!B$62+Hypothèses!B$63)/4*1000</f>
        <v>3750</v>
      </c>
      <c r="F34" s="26" t="n">
        <f aca="false">(Hypothèses!C$62+Hypothèses!C$63)/4*1000</f>
        <v>16250</v>
      </c>
      <c r="G34" s="26" t="n">
        <f aca="false">(Hypothèses!C$62+Hypothèses!C$63)/4*1000</f>
        <v>16250</v>
      </c>
      <c r="H34" s="26" t="n">
        <f aca="false">(Hypothèses!C$62+Hypothèses!C$63)/4*1000</f>
        <v>16250</v>
      </c>
      <c r="I34" s="26" t="n">
        <f aca="false">(Hypothèses!C$62+Hypothèses!C$63)/4*1000</f>
        <v>16250</v>
      </c>
      <c r="J34" s="26" t="n">
        <f aca="false">(Hypothèses!D$62+Hypothèses!D$63)/4*1000</f>
        <v>26250</v>
      </c>
      <c r="K34" s="26" t="n">
        <f aca="false">(Hypothèses!D$62+Hypothèses!D$63)/4*1000</f>
        <v>26250</v>
      </c>
      <c r="L34" s="26" t="n">
        <f aca="false">(Hypothèses!D$62+Hypothèses!D$63)/4*1000</f>
        <v>26250</v>
      </c>
      <c r="M34" s="26" t="n">
        <f aca="false">(Hypothèses!D$62+Hypothèses!D$63)/4*1000</f>
        <v>26250</v>
      </c>
      <c r="N34" s="27" t="n">
        <f aca="false">SUM(B34:E34)</f>
        <v>15000</v>
      </c>
      <c r="O34" s="27" t="n">
        <f aca="false">SUM(F34:I34)</f>
        <v>65000</v>
      </c>
      <c r="P34" s="27" t="n">
        <f aca="false">SUM(J34:M34)</f>
        <v>105000</v>
      </c>
    </row>
    <row r="35" customFormat="false" ht="15" hidden="false" customHeight="false" outlineLevel="0" collapsed="false">
      <c r="A35" s="9" t="s">
        <v>164</v>
      </c>
      <c r="B35" s="27" t="n">
        <f aca="false">SUM(B28:B34)</f>
        <v>182185</v>
      </c>
      <c r="C35" s="27" t="n">
        <f aca="false">SUM(C28:C34)</f>
        <v>182185</v>
      </c>
      <c r="D35" s="27" t="n">
        <f aca="false">SUM(D28:D34)</f>
        <v>182185</v>
      </c>
      <c r="E35" s="27" t="n">
        <f aca="false">SUM(E28:E34)</f>
        <v>182185</v>
      </c>
      <c r="F35" s="27" t="n">
        <f aca="false">SUM(F28:F34)</f>
        <v>466729</v>
      </c>
      <c r="G35" s="27" t="n">
        <f aca="false">SUM(G28:G34)</f>
        <v>469717</v>
      </c>
      <c r="H35" s="27" t="n">
        <f aca="false">SUM(H28:H34)</f>
        <v>472406.2</v>
      </c>
      <c r="I35" s="27" t="n">
        <f aca="false">SUM(I28:I34)</f>
        <v>475095.4</v>
      </c>
      <c r="J35" s="27" t="n">
        <f aca="false">SUM(J28:J34)</f>
        <v>841450.96443125</v>
      </c>
      <c r="K35" s="27" t="n">
        <f aca="false">SUM(K28:K34)</f>
        <v>855215.411178125</v>
      </c>
      <c r="L35" s="27" t="n">
        <f aca="false">SUM(L28:L34)</f>
        <v>867216.514475</v>
      </c>
      <c r="M35" s="27" t="n">
        <f aca="false">SUM(M28:M34)</f>
        <v>879903.395103125</v>
      </c>
      <c r="N35" s="27" t="n">
        <f aca="false">SUM(B35:E35)</f>
        <v>728740</v>
      </c>
      <c r="O35" s="27" t="n">
        <f aca="false">SUM(F35:I35)</f>
        <v>1883947.6</v>
      </c>
      <c r="P35" s="27" t="n">
        <f aca="false">SUM(J35:M35)</f>
        <v>3443786.2851875</v>
      </c>
    </row>
    <row r="36" customFormat="false" ht="15" hidden="false" customHeight="false" outlineLevel="0" collapsed="false">
      <c r="A36" s="9" t="s">
        <v>165</v>
      </c>
      <c r="B36" s="32" t="n">
        <f aca="false">B25-B35</f>
        <v>-182185</v>
      </c>
      <c r="C36" s="32" t="n">
        <f aca="false">C25-C35</f>
        <v>-166675.65</v>
      </c>
      <c r="D36" s="32" t="n">
        <f aca="false">D25-D35</f>
        <v>-125000.925</v>
      </c>
      <c r="E36" s="32" t="n">
        <f aca="false">E25-E35</f>
        <v>-55710.15</v>
      </c>
      <c r="F36" s="32" t="n">
        <f aca="false">F25-F35</f>
        <v>-219115.28125</v>
      </c>
      <c r="G36" s="32" t="n">
        <f aca="false">G25-G35</f>
        <v>-94681.15625</v>
      </c>
      <c r="H36" s="32" t="n">
        <f aca="false">H25-H35</f>
        <v>13763.5562500001</v>
      </c>
      <c r="I36" s="32" t="n">
        <f aca="false">I25-I35</f>
        <v>126148.26875</v>
      </c>
      <c r="J36" s="32" t="n">
        <f aca="false">J25-J35</f>
        <v>66554.6722437502</v>
      </c>
      <c r="K36" s="32" t="n">
        <f aca="false">K25-K35</f>
        <v>363409.812709375</v>
      </c>
      <c r="L36" s="32" t="n">
        <f aca="false">L25-L35</f>
        <v>622824.137625</v>
      </c>
      <c r="M36" s="32" t="n">
        <f aca="false">M25-M35</f>
        <v>901396.113484375</v>
      </c>
      <c r="N36" s="27" t="n">
        <f aca="false">SUM(B36:E36)</f>
        <v>-529571.725</v>
      </c>
      <c r="O36" s="27" t="n">
        <f aca="false">SUM(F36:I36)</f>
        <v>-173884.6125</v>
      </c>
      <c r="P36" s="27" t="n">
        <f aca="false">SUM(J36:M36)</f>
        <v>1954184.7360625</v>
      </c>
    </row>
    <row r="37" customFormat="false" ht="15" hidden="false" customHeight="false" outlineLevel="0" collapsed="false">
      <c r="A37" s="4" t="s">
        <v>166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customFormat="false" ht="15" hidden="false" customHeight="false" outlineLevel="0" collapsed="false">
      <c r="A38" s="2" t="s">
        <v>167</v>
      </c>
      <c r="B38" s="26" t="n">
        <f aca="false">Hypothèses!B$71</f>
        <v>5000</v>
      </c>
      <c r="C38" s="26" t="n">
        <f aca="false">Hypothèses!B$71</f>
        <v>5000</v>
      </c>
      <c r="D38" s="26" t="n">
        <f aca="false">Hypothèses!B$71</f>
        <v>5000</v>
      </c>
      <c r="E38" s="26" t="n">
        <f aca="false">Hypothèses!B$71</f>
        <v>5000</v>
      </c>
      <c r="F38" s="26" t="n">
        <f aca="false">Hypothèses!C$71</f>
        <v>6000</v>
      </c>
      <c r="G38" s="26" t="n">
        <f aca="false">Hypothèses!C$71</f>
        <v>6000</v>
      </c>
      <c r="H38" s="26" t="n">
        <f aca="false">Hypothèses!C$71</f>
        <v>6000</v>
      </c>
      <c r="I38" s="26" t="n">
        <f aca="false">Hypothèses!C$71</f>
        <v>6000</v>
      </c>
      <c r="J38" s="26" t="n">
        <f aca="false">Hypothèses!D$71</f>
        <v>8000</v>
      </c>
      <c r="K38" s="26" t="n">
        <f aca="false">Hypothèses!D$71</f>
        <v>8000</v>
      </c>
      <c r="L38" s="26" t="n">
        <f aca="false">Hypothèses!D$71</f>
        <v>8000</v>
      </c>
      <c r="M38" s="26" t="n">
        <f aca="false">Hypothèses!D$71</f>
        <v>8000</v>
      </c>
      <c r="N38" s="27" t="n">
        <f aca="false">SUM(B38:E38)</f>
        <v>20000</v>
      </c>
      <c r="O38" s="27" t="n">
        <f aca="false">SUM(F38:I38)</f>
        <v>24000</v>
      </c>
      <c r="P38" s="27" t="n">
        <f aca="false">SUM(J38:M38)</f>
        <v>32000</v>
      </c>
    </row>
    <row r="39" customFormat="false" ht="15" hidden="false" customHeight="false" outlineLevel="0" collapsed="false">
      <c r="A39" s="2" t="s">
        <v>168</v>
      </c>
      <c r="B39" s="26" t="n">
        <f aca="false">Hypothèses!B$75*1000/4</f>
        <v>5000</v>
      </c>
      <c r="C39" s="26" t="n">
        <f aca="false">Hypothèses!B$75*1000/4</f>
        <v>5000</v>
      </c>
      <c r="D39" s="26" t="n">
        <f aca="false">Hypothèses!B$75*1000/4</f>
        <v>5000</v>
      </c>
      <c r="E39" s="26" t="n">
        <f aca="false">Hypothèses!B$75*1000/4</f>
        <v>5000</v>
      </c>
      <c r="F39" s="26" t="n">
        <f aca="false">Hypothèses!C$75*1000/4</f>
        <v>10000</v>
      </c>
      <c r="G39" s="26" t="n">
        <f aca="false">Hypothèses!C$75*1000/4</f>
        <v>10000</v>
      </c>
      <c r="H39" s="26" t="n">
        <f aca="false">Hypothèses!C$75*1000/4</f>
        <v>10000</v>
      </c>
      <c r="I39" s="26" t="n">
        <f aca="false">Hypothèses!C$75*1000/4</f>
        <v>10000</v>
      </c>
      <c r="J39" s="26" t="n">
        <f aca="false">Hypothèses!D$75*1000/4</f>
        <v>15000</v>
      </c>
      <c r="K39" s="26" t="n">
        <f aca="false">Hypothèses!D$75*1000/4</f>
        <v>15000</v>
      </c>
      <c r="L39" s="26" t="n">
        <f aca="false">Hypothèses!D$75*1000/4</f>
        <v>15000</v>
      </c>
      <c r="M39" s="26" t="n">
        <f aca="false">Hypothèses!D$75*1000/4</f>
        <v>15000</v>
      </c>
      <c r="N39" s="27" t="n">
        <f aca="false">SUM(B39:E39)</f>
        <v>20000</v>
      </c>
      <c r="O39" s="27" t="n">
        <f aca="false">SUM(F39:I39)</f>
        <v>40000</v>
      </c>
      <c r="P39" s="27" t="n">
        <f aca="false">SUM(J39:M39)</f>
        <v>60000</v>
      </c>
    </row>
    <row r="40" customFormat="false" ht="15" hidden="false" customHeight="false" outlineLevel="0" collapsed="false">
      <c r="A40" s="2" t="s">
        <v>169</v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f aca="false">-'Compte de résultat'!D20+Hypothèses!$B$74</f>
        <v>317682.099640625</v>
      </c>
      <c r="N40" s="27" t="n">
        <f aca="false">SUM(B40:E40)</f>
        <v>0</v>
      </c>
      <c r="O40" s="27" t="n">
        <f aca="false">SUM(F40:I40)</f>
        <v>0</v>
      </c>
      <c r="P40" s="27" t="n">
        <f aca="false">SUM(J40:M40)</f>
        <v>317682.099640625</v>
      </c>
    </row>
    <row r="41" customFormat="false" ht="15" hidden="false" customHeight="false" outlineLevel="0" collapsed="false">
      <c r="A41" s="9" t="s">
        <v>170</v>
      </c>
      <c r="B41" s="27" t="n">
        <f aca="false">B36-B38-B39-B40</f>
        <v>-192185</v>
      </c>
      <c r="C41" s="27" t="n">
        <f aca="false">C36-C38-C39-C40</f>
        <v>-176675.65</v>
      </c>
      <c r="D41" s="27" t="n">
        <f aca="false">D36-D38-D39-D40</f>
        <v>-135000.925</v>
      </c>
      <c r="E41" s="27" t="n">
        <f aca="false">E36-E38-E39-E40</f>
        <v>-65710.15</v>
      </c>
      <c r="F41" s="27" t="n">
        <f aca="false">F36-F38-F39-F40</f>
        <v>-235115.28125</v>
      </c>
      <c r="G41" s="27" t="n">
        <f aca="false">G36-G38-G39-G40</f>
        <v>-110681.15625</v>
      </c>
      <c r="H41" s="27" t="n">
        <f aca="false">H36-H38-H39-H40</f>
        <v>-2236.44374999992</v>
      </c>
      <c r="I41" s="27" t="n">
        <f aca="false">I36-I38-I39-I40</f>
        <v>110148.26875</v>
      </c>
      <c r="J41" s="27" t="n">
        <f aca="false">J36-J38-J39-J40</f>
        <v>43554.6722437502</v>
      </c>
      <c r="K41" s="27" t="n">
        <f aca="false">K36-K38-K39-K40</f>
        <v>340409.812709375</v>
      </c>
      <c r="L41" s="27" t="n">
        <f aca="false">L36-L38-L39-L40</f>
        <v>599824.137625</v>
      </c>
      <c r="M41" s="27" t="n">
        <f aca="false">M36-M38-M39-M40</f>
        <v>560714.01384375</v>
      </c>
      <c r="N41" s="27" t="n">
        <f aca="false">SUM(B41:E41)</f>
        <v>-569571.725</v>
      </c>
      <c r="O41" s="27" t="n">
        <f aca="false">SUM(F41:I41)</f>
        <v>-237884.6125</v>
      </c>
      <c r="P41" s="27" t="n">
        <f aca="false">SUM(J41:M41)</f>
        <v>1544502.63642188</v>
      </c>
    </row>
    <row r="42" customFormat="false" ht="15" hidden="false" customHeight="false" outlineLevel="0" collapsed="false">
      <c r="A42" s="2" t="s">
        <v>171</v>
      </c>
      <c r="B42" s="26" t="n">
        <f aca="false">Hypothèses!$B$66+Hypothèses!$B$67+Hypothèses!$B$68+Hypothèses!$B$69-Hypothèses!$B$70</f>
        <v>1520000</v>
      </c>
      <c r="C42" s="26" t="n">
        <v>0</v>
      </c>
      <c r="D42" s="26" t="n">
        <v>0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0</v>
      </c>
      <c r="J42" s="26" t="n">
        <v>0</v>
      </c>
      <c r="K42" s="26" t="n">
        <v>0</v>
      </c>
      <c r="L42" s="26" t="n">
        <v>0</v>
      </c>
      <c r="M42" s="26" t="n">
        <v>0</v>
      </c>
      <c r="N42" s="27" t="n">
        <f aca="false">SUM(B42:E42)</f>
        <v>1520000</v>
      </c>
      <c r="O42" s="27" t="n">
        <f aca="false">SUM(F42:I42)</f>
        <v>0</v>
      </c>
      <c r="P42" s="27" t="n">
        <f aca="false">SUM(J42:M42)</f>
        <v>0</v>
      </c>
    </row>
    <row r="43" customFormat="false" ht="15" hidden="false" customHeight="false" outlineLevel="0" collapsed="false">
      <c r="A43" s="9" t="s">
        <v>172</v>
      </c>
      <c r="B43" s="29" t="n">
        <f aca="false">B41+B42</f>
        <v>1327815</v>
      </c>
      <c r="C43" s="29" t="n">
        <f aca="false">B43+C41+C42</f>
        <v>1151139.35</v>
      </c>
      <c r="D43" s="29" t="n">
        <f aca="false">C43+D41+D42</f>
        <v>1016138.425</v>
      </c>
      <c r="E43" s="29" t="n">
        <f aca="false">D43+E41+E42</f>
        <v>950428.275</v>
      </c>
      <c r="F43" s="29" t="n">
        <f aca="false">E43+F41+F42</f>
        <v>715312.99375</v>
      </c>
      <c r="G43" s="29" t="n">
        <f aca="false">F43+G41+G42</f>
        <v>604631.8375</v>
      </c>
      <c r="H43" s="29" t="n">
        <f aca="false">G43+H41+H42</f>
        <v>602395.39375</v>
      </c>
      <c r="I43" s="29" t="n">
        <f aca="false">H43+I41+I42</f>
        <v>712543.6625</v>
      </c>
      <c r="J43" s="29" t="n">
        <f aca="false">I43+J41+J42</f>
        <v>756098.334743751</v>
      </c>
      <c r="K43" s="29" t="n">
        <f aca="false">J43+K41+K42</f>
        <v>1096508.14745313</v>
      </c>
      <c r="L43" s="29" t="n">
        <f aca="false">K43+L41+L42</f>
        <v>1696332.28507813</v>
      </c>
      <c r="M43" s="29" t="n">
        <f aca="false">L43+M41+M42</f>
        <v>2257046.29892188</v>
      </c>
      <c r="N43" s="27" t="n">
        <f aca="false">E43</f>
        <v>950428.275</v>
      </c>
      <c r="O43" s="27" t="n">
        <f aca="false">I43</f>
        <v>712543.6625</v>
      </c>
      <c r="P43" s="27" t="n">
        <f aca="false">M43</f>
        <v>2257046.29892188</v>
      </c>
    </row>
    <row r="44" customFormat="false" ht="15" hidden="false" customHeight="false" outlineLevel="0" collapsed="false">
      <c r="A44" s="3" t="s">
        <v>173</v>
      </c>
      <c r="B44" s="26" t="n">
        <f aca="false">B41</f>
        <v>-192185</v>
      </c>
      <c r="C44" s="26" t="n">
        <f aca="false">B44+C41</f>
        <v>-368860.65</v>
      </c>
      <c r="D44" s="26" t="n">
        <f aca="false">C44+D41</f>
        <v>-503861.575</v>
      </c>
      <c r="E44" s="26" t="n">
        <f aca="false">D44+E41</f>
        <v>-569571.725</v>
      </c>
      <c r="F44" s="26" t="n">
        <f aca="false">E44+F41</f>
        <v>-804687.00625</v>
      </c>
      <c r="G44" s="26" t="n">
        <f aca="false">F44+G41</f>
        <v>-915368.1625</v>
      </c>
      <c r="H44" s="26" t="n">
        <f aca="false">G44+H41</f>
        <v>-917604.60625</v>
      </c>
      <c r="I44" s="26" t="n">
        <f aca="false">H44+I41</f>
        <v>-807456.3375</v>
      </c>
      <c r="J44" s="26" t="n">
        <f aca="false">I44+J41</f>
        <v>-763901.665256249</v>
      </c>
      <c r="K44" s="26" t="n">
        <f aca="false">J44+K41</f>
        <v>-423491.852546874</v>
      </c>
      <c r="L44" s="26" t="n">
        <f aca="false">K44+L41</f>
        <v>176332.285078126</v>
      </c>
      <c r="M44" s="26" t="n">
        <f aca="false">L44+M41</f>
        <v>737046.298921875</v>
      </c>
    </row>
    <row r="45" customFormat="false" ht="15" hidden="false" customHeight="false" outlineLevel="0" collapsed="false">
      <c r="A45" s="3" t="s">
        <v>174</v>
      </c>
      <c r="B45" s="26" t="n">
        <f aca="false">B8*B12*12</f>
        <v>0</v>
      </c>
      <c r="C45" s="26" t="n">
        <f aca="false">C8*C12*12</f>
        <v>90240</v>
      </c>
      <c r="D45" s="26" t="n">
        <f aca="false">D8*D12*12</f>
        <v>315840</v>
      </c>
      <c r="E45" s="26" t="n">
        <f aca="false">E8*E12*12</f>
        <v>676800</v>
      </c>
      <c r="F45" s="26" t="n">
        <f aca="false">F8*F12*12</f>
        <v>1374480</v>
      </c>
      <c r="G45" s="26" t="n">
        <f aca="false">G8*G12*12</f>
        <v>1912320</v>
      </c>
      <c r="H45" s="26" t="n">
        <f aca="false">H8*H12*12</f>
        <v>2450160</v>
      </c>
      <c r="I45" s="26" t="n">
        <f aca="false">I8*I12*12</f>
        <v>2988000</v>
      </c>
      <c r="J45" s="26" t="n">
        <f aca="false">J8*J12*12</f>
        <v>4827872.412</v>
      </c>
      <c r="K45" s="26" t="n">
        <f aca="false">K8*K12*12</f>
        <v>6071415.306</v>
      </c>
      <c r="L45" s="26" t="n">
        <f aca="false">L8*L12*12</f>
        <v>7388107.782</v>
      </c>
      <c r="M45" s="26" t="n">
        <f aca="false">M8*M12*12</f>
        <v>8777949.84</v>
      </c>
      <c r="N45" s="27" t="n">
        <f aca="false">E45</f>
        <v>676800</v>
      </c>
      <c r="O45" s="27" t="n">
        <f aca="false">I45</f>
        <v>2988000</v>
      </c>
      <c r="P45" s="27" t="n">
        <f aca="false">M45</f>
        <v>8777949.84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6" min="6" style="0" width="66"/>
  </cols>
  <sheetData>
    <row r="1" customFormat="false" ht="16.1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3" t="s">
        <v>176</v>
      </c>
    </row>
    <row r="3" customFormat="false" ht="15" hidden="false" customHeight="false" outlineLevel="0" collapsed="false">
      <c r="B3" s="20" t="s">
        <v>28</v>
      </c>
      <c r="C3" s="20" t="s">
        <v>29</v>
      </c>
      <c r="D3" s="20" t="s">
        <v>30</v>
      </c>
    </row>
    <row r="4" customFormat="false" ht="15" hidden="false" customHeight="false" outlineLevel="0" collapsed="false">
      <c r="A4" s="2" t="s">
        <v>177</v>
      </c>
      <c r="B4" s="26" t="n">
        <f aca="false">Trimestriel!N13</f>
        <v>186120</v>
      </c>
      <c r="C4" s="26" t="n">
        <f aca="false">Trimestriel!O13</f>
        <v>1897380</v>
      </c>
      <c r="D4" s="26" t="n">
        <f aca="false">Trimestriel!P13</f>
        <v>6060967.605</v>
      </c>
    </row>
    <row r="5" customFormat="false" ht="15" hidden="false" customHeight="false" outlineLevel="0" collapsed="false">
      <c r="A5" s="2" t="s">
        <v>178</v>
      </c>
      <c r="B5" s="26" t="n">
        <f aca="false">Trimestriel!N15</f>
        <v>48000</v>
      </c>
      <c r="C5" s="26" t="n">
        <f aca="false">Trimestriel!O15</f>
        <v>144000</v>
      </c>
      <c r="D5" s="26" t="n">
        <f aca="false">Trimestriel!P15</f>
        <v>349998</v>
      </c>
    </row>
    <row r="6" customFormat="false" ht="15" hidden="false" customHeight="false" outlineLevel="0" collapsed="false">
      <c r="A6" s="2" t="s">
        <v>179</v>
      </c>
      <c r="B6" s="26" t="n">
        <f aca="false">Trimestriel!N16</f>
        <v>5445</v>
      </c>
      <c r="C6" s="26" t="n">
        <f aca="false">Trimestriel!O16</f>
        <v>87312.5</v>
      </c>
      <c r="D6" s="26" t="n">
        <f aca="false">Trimestriel!P16</f>
        <v>318998.295</v>
      </c>
    </row>
    <row r="7" customFormat="false" ht="15" hidden="false" customHeight="false" outlineLevel="0" collapsed="false">
      <c r="A7" s="9" t="s">
        <v>146</v>
      </c>
      <c r="B7" s="29" t="n">
        <f aca="false">SUM(B4:B6)</f>
        <v>239565</v>
      </c>
      <c r="C7" s="29" t="n">
        <f aca="false">SUM(C4:C6)</f>
        <v>2128692.5</v>
      </c>
      <c r="D7" s="29" t="n">
        <f aca="false">SUM(D4:D6)</f>
        <v>6729963.9</v>
      </c>
    </row>
    <row r="8" customFormat="false" ht="15" hidden="false" customHeight="false" outlineLevel="0" collapsed="false">
      <c r="A8" s="2" t="s">
        <v>147</v>
      </c>
      <c r="B8" s="26" t="n">
        <f aca="false">-Trimestriel!N24</f>
        <v>-40396.725</v>
      </c>
      <c r="C8" s="26" t="n">
        <f aca="false">-Trimestriel!O24</f>
        <v>-418629.5125</v>
      </c>
      <c r="D8" s="26" t="n">
        <f aca="false">-Trimestriel!P24</f>
        <v>-1331992.87875</v>
      </c>
    </row>
    <row r="9" customFormat="false" ht="15" hidden="false" customHeight="false" outlineLevel="0" collapsed="false">
      <c r="A9" s="9" t="s">
        <v>154</v>
      </c>
      <c r="B9" s="29" t="n">
        <f aca="false">B7+B8</f>
        <v>199168.275</v>
      </c>
      <c r="C9" s="29" t="n">
        <f aca="false">C7+C8</f>
        <v>1710062.9875</v>
      </c>
      <c r="D9" s="29" t="n">
        <f aca="false">D7+D8</f>
        <v>5397971.02125</v>
      </c>
      <c r="F9" s="3" t="s">
        <v>180</v>
      </c>
    </row>
    <row r="10" customFormat="false" ht="15" hidden="false" customHeight="false" outlineLevel="0" collapsed="false">
      <c r="A10" s="2" t="s">
        <v>157</v>
      </c>
      <c r="B10" s="26" t="n">
        <f aca="false">-Trimestriel!N28</f>
        <v>-258740</v>
      </c>
      <c r="C10" s="26" t="n">
        <f aca="false">-Trimestriel!O28</f>
        <v>-966000</v>
      </c>
      <c r="D10" s="26" t="n">
        <f aca="false">-Trimestriel!P28</f>
        <v>-1961500</v>
      </c>
    </row>
    <row r="11" customFormat="false" ht="15" hidden="false" customHeight="false" outlineLevel="0" collapsed="false">
      <c r="A11" s="2" t="s">
        <v>181</v>
      </c>
      <c r="B11" s="26" t="n">
        <f aca="false">-Trimestriel!N29</f>
        <v>-300000</v>
      </c>
      <c r="C11" s="26" t="n">
        <f aca="false">-Trimestriel!O29</f>
        <v>-350000</v>
      </c>
      <c r="D11" s="26" t="n">
        <f aca="false">-Trimestriel!P29</f>
        <v>-150000</v>
      </c>
    </row>
    <row r="12" customFormat="false" ht="15" hidden="false" customHeight="false" outlineLevel="0" collapsed="false">
      <c r="A12" s="2" t="s">
        <v>182</v>
      </c>
      <c r="B12" s="26" t="n">
        <f aca="false">-Trimestriel!N30-Trimestriel!N31</f>
        <v>-60000</v>
      </c>
      <c r="C12" s="26" t="n">
        <f aca="false">-Trimestriel!O30-Trimestriel!O31</f>
        <v>-337947.6</v>
      </c>
      <c r="D12" s="26" t="n">
        <f aca="false">-Trimestriel!P30-Trimestriel!P31</f>
        <v>-927286.2851875</v>
      </c>
    </row>
    <row r="13" customFormat="false" ht="15" hidden="false" customHeight="false" outlineLevel="0" collapsed="false">
      <c r="A13" s="2" t="s">
        <v>183</v>
      </c>
      <c r="B13" s="26" t="n">
        <f aca="false">-Trimestriel!N32-Trimestriel!N33-Trimestriel!N34</f>
        <v>-110000</v>
      </c>
      <c r="C13" s="26" t="n">
        <f aca="false">-Trimestriel!O32-Trimestriel!O33-Trimestriel!O34</f>
        <v>-230000</v>
      </c>
      <c r="D13" s="26" t="n">
        <f aca="false">-Trimestriel!P32-Trimestriel!P33-Trimestriel!P34</f>
        <v>-405000</v>
      </c>
    </row>
    <row r="14" customFormat="false" ht="15" hidden="false" customHeight="false" outlineLevel="0" collapsed="false">
      <c r="A14" s="9" t="s">
        <v>165</v>
      </c>
      <c r="B14" s="32" t="n">
        <f aca="false">B9+SUM(B10:B13)</f>
        <v>-529571.725</v>
      </c>
      <c r="C14" s="32" t="n">
        <f aca="false">C9+SUM(C10:C13)</f>
        <v>-173884.6125</v>
      </c>
      <c r="D14" s="32" t="n">
        <f aca="false">D9+SUM(D10:D13)</f>
        <v>1954184.7360625</v>
      </c>
    </row>
    <row r="15" customFormat="false" ht="15" hidden="false" customHeight="false" outlineLevel="0" collapsed="false">
      <c r="A15" s="2" t="s">
        <v>184</v>
      </c>
      <c r="B15" s="30" t="n">
        <f aca="false">IFERROR(B14/B7,"")</f>
        <v>-2.21055548598501</v>
      </c>
      <c r="C15" s="30" t="n">
        <f aca="false">IFERROR(C14/C7,"")</f>
        <v>-0.0816861113101115</v>
      </c>
      <c r="D15" s="30" t="n">
        <f aca="false">IFERROR(D14/D7,"")</f>
        <v>0.290370760541895</v>
      </c>
    </row>
    <row r="16" customFormat="false" ht="15" hidden="false" customHeight="false" outlineLevel="0" collapsed="false">
      <c r="A16" s="2" t="s">
        <v>185</v>
      </c>
      <c r="B16" s="26" t="n">
        <f aca="false">-Hypothèses!B72*1000</f>
        <v>-10000</v>
      </c>
      <c r="C16" s="26" t="n">
        <f aca="false">-Hypothèses!C72*1000</f>
        <v>-20000</v>
      </c>
      <c r="D16" s="26" t="n">
        <f aca="false">-Hypothèses!D72*1000</f>
        <v>-30000</v>
      </c>
    </row>
    <row r="17" customFormat="false" ht="15" hidden="false" customHeight="false" outlineLevel="0" collapsed="false">
      <c r="A17" s="9" t="s">
        <v>186</v>
      </c>
      <c r="B17" s="27" t="n">
        <f aca="false">B14+B16</f>
        <v>-539571.725</v>
      </c>
      <c r="C17" s="27" t="n">
        <f aca="false">C14+C16</f>
        <v>-193884.6125</v>
      </c>
      <c r="D17" s="27" t="n">
        <f aca="false">D14+D16</f>
        <v>1924184.7360625</v>
      </c>
    </row>
    <row r="18" customFormat="false" ht="15" hidden="false" customHeight="false" outlineLevel="0" collapsed="false">
      <c r="A18" s="3" t="s">
        <v>187</v>
      </c>
      <c r="B18" s="26" t="n">
        <v>0</v>
      </c>
      <c r="C18" s="26" t="n">
        <v>0</v>
      </c>
      <c r="D18" s="26" t="n">
        <f aca="false">MIN(0,B17)+MIN(0,C17)</f>
        <v>-733456.3375</v>
      </c>
    </row>
    <row r="19" customFormat="false" ht="15" hidden="false" customHeight="false" outlineLevel="0" collapsed="false">
      <c r="A19" s="3" t="s">
        <v>188</v>
      </c>
      <c r="B19" s="26" t="n">
        <f aca="false">MIN(0,B17)</f>
        <v>-539571.725</v>
      </c>
      <c r="C19" s="26" t="n">
        <f aca="false">MIN(0,C17)</f>
        <v>-193884.6125</v>
      </c>
      <c r="D19" s="26" t="n">
        <f aca="false">MAX(0,D17+D18)</f>
        <v>1190728.3985625</v>
      </c>
    </row>
    <row r="20" customFormat="false" ht="15" hidden="false" customHeight="false" outlineLevel="0" collapsed="false">
      <c r="A20" s="2" t="s">
        <v>189</v>
      </c>
      <c r="B20" s="26" t="n">
        <f aca="false">-MAX(0,B19)*Hypothèses!$B$73</f>
        <v>-0</v>
      </c>
      <c r="C20" s="26" t="n">
        <f aca="false">-MAX(0,C19)*Hypothèses!$B$73</f>
        <v>-0</v>
      </c>
      <c r="D20" s="26" t="n">
        <f aca="false">-MAX(0,D19)*Hypothèses!$B$73</f>
        <v>-297682.099640625</v>
      </c>
    </row>
    <row r="21" customFormat="false" ht="15" hidden="false" customHeight="false" outlineLevel="0" collapsed="false">
      <c r="A21" s="9" t="s">
        <v>190</v>
      </c>
      <c r="B21" s="32" t="n">
        <f aca="false">B17+B20</f>
        <v>-539571.725</v>
      </c>
      <c r="C21" s="32" t="n">
        <f aca="false">C17+C20</f>
        <v>-193884.6125</v>
      </c>
      <c r="D21" s="32" t="n">
        <f aca="false">D17+D20</f>
        <v>1626502.63642188</v>
      </c>
    </row>
    <row r="23" customFormat="false" ht="15" hidden="false" customHeight="false" outlineLevel="0" collapsed="false">
      <c r="A23" s="4" t="s">
        <v>191</v>
      </c>
      <c r="B23" s="5"/>
      <c r="C23" s="5"/>
      <c r="D23" s="5"/>
      <c r="E23" s="5"/>
      <c r="F23" s="5"/>
    </row>
    <row r="24" customFormat="false" ht="15" hidden="false" customHeight="false" outlineLevel="0" collapsed="false">
      <c r="A24" s="2" t="s">
        <v>192</v>
      </c>
      <c r="B24" s="26" t="n">
        <f aca="false">Trimestriel!N45</f>
        <v>676800</v>
      </c>
      <c r="C24" s="26" t="n">
        <f aca="false">Trimestriel!O45</f>
        <v>2988000</v>
      </c>
      <c r="D24" s="26" t="n">
        <f aca="false">Trimestriel!P45</f>
        <v>8777949.84</v>
      </c>
      <c r="F24" s="3" t="s">
        <v>193</v>
      </c>
    </row>
    <row r="25" customFormat="false" ht="15" hidden="false" customHeight="false" outlineLevel="0" collapsed="false">
      <c r="A25" s="2" t="s">
        <v>194</v>
      </c>
      <c r="B25" s="13" t="n">
        <f aca="false">Trimestriel!N6</f>
        <v>15</v>
      </c>
      <c r="C25" s="13" t="n">
        <f aca="false">Trimestriel!O6</f>
        <v>50</v>
      </c>
      <c r="D25" s="13" t="n">
        <f aca="false">Trimestriel!P6</f>
        <v>120</v>
      </c>
    </row>
    <row r="26" customFormat="false" ht="15" hidden="false" customHeight="false" outlineLevel="0" collapsed="false">
      <c r="A26" s="2" t="s">
        <v>43</v>
      </c>
      <c r="B26" s="13" t="n">
        <f aca="false">Trimestriel!N8</f>
        <v>6000</v>
      </c>
      <c r="C26" s="13" t="n">
        <f aca="false">Trimestriel!O8</f>
        <v>25000</v>
      </c>
      <c r="D26" s="13" t="n">
        <f aca="false">Trimestriel!P8</f>
        <v>69999.6</v>
      </c>
    </row>
    <row r="27" customFormat="false" ht="15" hidden="false" customHeight="false" outlineLevel="0" collapsed="false">
      <c r="A27" s="2" t="s">
        <v>195</v>
      </c>
      <c r="B27" s="30" t="n">
        <f aca="false">Trimestriel!N26</f>
        <v>0.83137467910588</v>
      </c>
      <c r="C27" s="30" t="n">
        <f aca="false">Trimestriel!O26</f>
        <v>0.803339602831315</v>
      </c>
      <c r="D27" s="30" t="n">
        <f aca="false">Trimestriel!P26</f>
        <v>0.802080234226814</v>
      </c>
    </row>
    <row r="28" customFormat="false" ht="15" hidden="false" customHeight="false" outlineLevel="0" collapsed="false">
      <c r="A28" s="2" t="s">
        <v>196</v>
      </c>
      <c r="B28" s="26" t="n">
        <f aca="false">(SUMPRODUCT(Hypothèses!$B$44:$B$46,Hypothèses!C44:C46)*1000+Trimestriel!N30+Trimestriel!N31)/Hypothèses!B14</f>
        <v>8000</v>
      </c>
      <c r="C28" s="26" t="n">
        <f aca="false">(SUMPRODUCT(Hypothèses!$B$44:$B$46,Hypothèses!D44:D46)*1000+Trimestriel!O30+Trimestriel!O31)/Hypothèses!C14</f>
        <v>17998.5444444444</v>
      </c>
      <c r="D28" s="26" t="n">
        <f aca="false">(SUMPRODUCT(Hypothèses!$B$44:$B$46,Hypothèses!E44:E46)*1000+Trimestriel!P30+Trimestriel!P31)/Hypothèses!D14</f>
        <v>20630.4838025</v>
      </c>
      <c r="F28" s="3" t="s">
        <v>197</v>
      </c>
    </row>
    <row r="29" customFormat="false" ht="15" hidden="false" customHeight="false" outlineLevel="0" collapsed="false">
      <c r="A29" s="2" t="s">
        <v>198</v>
      </c>
      <c r="B29" s="26" t="n">
        <f aca="false">Hypothèses!B17*Hypothèses!B11*12</f>
        <v>45120</v>
      </c>
      <c r="C29" s="26" t="n">
        <f aca="false">Hypothèses!C17*Hypothèses!C11*12</f>
        <v>59760</v>
      </c>
      <c r="D29" s="26" t="n">
        <f aca="false">Hypothèses!D17*Hypothèses!D11*12</f>
        <v>73149.582</v>
      </c>
    </row>
    <row r="30" customFormat="false" ht="15" hidden="false" customHeight="false" outlineLevel="0" collapsed="false">
      <c r="A30" s="2" t="s">
        <v>199</v>
      </c>
      <c r="B30" s="28" t="n">
        <f aca="false">IFERROR(B28/(B29*Trimestriel!N26/12),"")</f>
        <v>2.55920661037731</v>
      </c>
      <c r="C30" s="28" t="n">
        <f aca="false">IFERROR(C28/(C29*Trimestriel!O26/12),"")</f>
        <v>4.49892615570723</v>
      </c>
      <c r="D30" s="28" t="n">
        <f aca="false">IFERROR(D28/(D29*Trimestriel!P26/12),"")</f>
        <v>4.21950004499952</v>
      </c>
      <c r="F30" s="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201</v>
      </c>
    </row>
    <row r="3" customFormat="false" ht="15" hidden="false" customHeight="false" outlineLevel="0" collapsed="false">
      <c r="B3" s="20" t="s">
        <v>202</v>
      </c>
      <c r="C3" s="20" t="s">
        <v>28</v>
      </c>
      <c r="D3" s="20" t="s">
        <v>29</v>
      </c>
      <c r="E3" s="20" t="s">
        <v>30</v>
      </c>
    </row>
    <row r="4" customFormat="false" ht="15" hidden="false" customHeight="false" outlineLevel="0" collapsed="false">
      <c r="A4" s="4" t="s">
        <v>203</v>
      </c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2" t="s">
        <v>204</v>
      </c>
      <c r="B5" s="33" t="n">
        <f aca="false">Hypothèses!B70</f>
        <v>60000</v>
      </c>
    </row>
    <row r="6" customFormat="false" ht="15" hidden="false" customHeight="false" outlineLevel="0" collapsed="false">
      <c r="A6" s="2" t="s">
        <v>205</v>
      </c>
      <c r="C6" s="33" t="n">
        <f aca="false">Trimestriel!N38</f>
        <v>20000</v>
      </c>
      <c r="D6" s="33" t="n">
        <f aca="false">Trimestriel!O38</f>
        <v>24000</v>
      </c>
      <c r="E6" s="33" t="n">
        <f aca="false">Trimestriel!P38</f>
        <v>32000</v>
      </c>
    </row>
    <row r="7" customFormat="false" ht="15" hidden="false" customHeight="false" outlineLevel="0" collapsed="false">
      <c r="A7" s="2" t="s">
        <v>168</v>
      </c>
      <c r="C7" s="33" t="n">
        <f aca="false">Trimestriel!N39</f>
        <v>20000</v>
      </c>
      <c r="D7" s="33" t="n">
        <f aca="false">Trimestriel!O39</f>
        <v>40000</v>
      </c>
      <c r="E7" s="33" t="n">
        <f aca="false">Trimestriel!P39</f>
        <v>60000</v>
      </c>
    </row>
    <row r="8" customFormat="false" ht="15" hidden="false" customHeight="false" outlineLevel="0" collapsed="false">
      <c r="A8" s="2" t="s">
        <v>206</v>
      </c>
      <c r="C8" s="26" t="n">
        <f aca="false">MAX(0,-('Compte de résultat'!B21+Hypothèses!B72*1000))</f>
        <v>529571.725</v>
      </c>
      <c r="D8" s="26" t="n">
        <f aca="false">MAX(0,-('Compte de résultat'!C21+Hypothèses!C72*1000))</f>
        <v>173884.6125</v>
      </c>
      <c r="E8" s="26" t="n">
        <v>0</v>
      </c>
    </row>
    <row r="9" customFormat="false" ht="15" hidden="false" customHeight="false" outlineLevel="0" collapsed="false">
      <c r="A9" s="2" t="s">
        <v>207</v>
      </c>
      <c r="E9" s="33" t="n">
        <f aca="false">Hypothèses!B74</f>
        <v>20000</v>
      </c>
    </row>
    <row r="10" customFormat="false" ht="15" hidden="false" customHeight="false" outlineLevel="0" collapsed="false">
      <c r="A10" s="9" t="s">
        <v>208</v>
      </c>
      <c r="B10" s="27" t="n">
        <f aca="false">SUM(B5:B9)</f>
        <v>60000</v>
      </c>
      <c r="C10" s="27" t="n">
        <f aca="false">SUM(C5:C9)</f>
        <v>569571.725</v>
      </c>
      <c r="D10" s="27" t="n">
        <f aca="false">SUM(D5:D9)</f>
        <v>237884.6125</v>
      </c>
      <c r="E10" s="27" t="n">
        <f aca="false">SUM(E5:E9)</f>
        <v>112000</v>
      </c>
    </row>
    <row r="11" customFormat="false" ht="15" hidden="false" customHeight="false" outlineLevel="0" collapsed="false">
      <c r="A11" s="4" t="s">
        <v>209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2" t="s">
        <v>210</v>
      </c>
      <c r="B12" s="33" t="n">
        <f aca="false">Hypothèses!B67</f>
        <v>30000</v>
      </c>
    </row>
    <row r="13" customFormat="false" ht="15" hidden="false" customHeight="false" outlineLevel="0" collapsed="false">
      <c r="A13" s="2" t="s">
        <v>211</v>
      </c>
      <c r="B13" s="33" t="n">
        <f aca="false">Hypothèses!B68</f>
        <v>20000</v>
      </c>
    </row>
    <row r="14" customFormat="false" ht="15" hidden="false" customHeight="false" outlineLevel="0" collapsed="false">
      <c r="A14" s="2" t="s">
        <v>212</v>
      </c>
      <c r="B14" s="33" t="n">
        <f aca="false">Hypothèses!B69</f>
        <v>30000</v>
      </c>
    </row>
    <row r="15" customFormat="false" ht="15" hidden="false" customHeight="false" outlineLevel="0" collapsed="false">
      <c r="A15" s="2" t="s">
        <v>213</v>
      </c>
      <c r="C15" s="33" t="n">
        <f aca="false">Hypothèses!B66</f>
        <v>1500000</v>
      </c>
      <c r="G15" s="3" t="s">
        <v>214</v>
      </c>
    </row>
    <row r="16" customFormat="false" ht="15" hidden="false" customHeight="false" outlineLevel="0" collapsed="false">
      <c r="A16" s="2" t="s">
        <v>215</v>
      </c>
      <c r="C16" s="26" t="n">
        <v>0</v>
      </c>
      <c r="D16" s="26" t="n">
        <v>0</v>
      </c>
      <c r="E16" s="26" t="n">
        <f aca="false">MAX(0,'Compte de résultat'!D21+Hypothèses!D72*1000)</f>
        <v>1656502.63642188</v>
      </c>
    </row>
    <row r="17" customFormat="false" ht="15" hidden="false" customHeight="false" outlineLevel="0" collapsed="false">
      <c r="A17" s="9" t="s">
        <v>216</v>
      </c>
      <c r="B17" s="27" t="n">
        <f aca="false">SUM(B12:B16)</f>
        <v>80000</v>
      </c>
      <c r="C17" s="27" t="n">
        <f aca="false">SUM(C12:C16)</f>
        <v>1500000</v>
      </c>
      <c r="D17" s="27" t="n">
        <f aca="false">SUM(D12:D16)</f>
        <v>0</v>
      </c>
      <c r="E17" s="27" t="n">
        <f aca="false">SUM(E12:E16)</f>
        <v>1656502.63642188</v>
      </c>
    </row>
    <row r="19" customFormat="false" ht="15" hidden="false" customHeight="false" outlineLevel="0" collapsed="false">
      <c r="A19" s="9" t="s">
        <v>217</v>
      </c>
      <c r="B19" s="27" t="n">
        <f aca="false">B17-B10</f>
        <v>20000</v>
      </c>
      <c r="C19" s="27" t="n">
        <f aca="false">C17-C10</f>
        <v>930428.275</v>
      </c>
      <c r="D19" s="27" t="n">
        <f aca="false">D17-D10</f>
        <v>-237884.6125</v>
      </c>
      <c r="E19" s="27" t="n">
        <f aca="false">E17-E10</f>
        <v>1544502.63642188</v>
      </c>
    </row>
    <row r="20" customFormat="false" ht="15" hidden="false" customHeight="false" outlineLevel="0" collapsed="false">
      <c r="A20" s="9" t="s">
        <v>218</v>
      </c>
      <c r="B20" s="27" t="n">
        <f aca="false">B19</f>
        <v>20000</v>
      </c>
      <c r="C20" s="32" t="n">
        <f aca="false">B20+C19</f>
        <v>950428.275</v>
      </c>
      <c r="D20" s="32" t="n">
        <f aca="false">C20+D19</f>
        <v>712543.6625</v>
      </c>
      <c r="E20" s="32" t="n">
        <f aca="false">D20+E19</f>
        <v>2257046.29892188</v>
      </c>
    </row>
    <row r="22" customFormat="false" ht="15" hidden="false" customHeight="false" outlineLevel="0" collapsed="false">
      <c r="A22" s="3" t="s">
        <v>219</v>
      </c>
      <c r="B22" s="26" t="n">
        <f aca="false">E20-Trimestriel!M43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5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1" t="s">
        <v>220</v>
      </c>
    </row>
    <row r="3" customFormat="false" ht="15" hidden="false" customHeight="false" outlineLevel="0" collapsed="false">
      <c r="A3" s="4" t="s">
        <v>221</v>
      </c>
      <c r="B3" s="5"/>
      <c r="C3" s="5"/>
      <c r="D3" s="5"/>
      <c r="E3" s="5"/>
      <c r="F3" s="5"/>
    </row>
    <row r="4" customFormat="false" ht="15" hidden="false" customHeight="false" outlineLevel="0" collapsed="false">
      <c r="B4" s="9" t="s">
        <v>222</v>
      </c>
      <c r="C4" s="9" t="s">
        <v>223</v>
      </c>
    </row>
    <row r="5" customFormat="false" ht="15" hidden="false" customHeight="false" outlineLevel="0" collapsed="false">
      <c r="A5" s="2" t="s">
        <v>224</v>
      </c>
      <c r="B5" s="26" t="n">
        <f aca="false">Trimestriel!O35/4</f>
        <v>470986.9</v>
      </c>
      <c r="C5" s="26" t="n">
        <f aca="false">Trimestriel!P35/4</f>
        <v>860946.571296875</v>
      </c>
    </row>
    <row r="6" customFormat="false" ht="15" hidden="false" customHeight="false" outlineLevel="0" collapsed="false">
      <c r="A6" s="2" t="s">
        <v>225</v>
      </c>
      <c r="B6" s="10" t="n">
        <f aca="false">Hypothèses!C11*3*Trimestriel!O26</f>
        <v>24.0037873325997</v>
      </c>
      <c r="C6" s="10" t="n">
        <f aca="false">Hypothèses!D11*3*Trimestriel!P26</f>
        <v>25.1452153430106</v>
      </c>
    </row>
    <row r="7" customFormat="false" ht="15" hidden="false" customHeight="false" outlineLevel="0" collapsed="false">
      <c r="A7" s="9" t="s">
        <v>226</v>
      </c>
      <c r="B7" s="34" t="n">
        <f aca="false">B5/B6</f>
        <v>19621.3578079968</v>
      </c>
      <c r="C7" s="34" t="n">
        <f aca="false">C5/C6</f>
        <v>34238.981832231</v>
      </c>
      <c r="F7" s="3" t="s">
        <v>227</v>
      </c>
    </row>
    <row r="8" customFormat="false" ht="15" hidden="false" customHeight="false" outlineLevel="0" collapsed="false">
      <c r="A8" s="9" t="s">
        <v>228</v>
      </c>
      <c r="B8" s="22" t="n">
        <f aca="false">B7/Hypothèses!C17</f>
        <v>39.2427156159936</v>
      </c>
      <c r="C8" s="22" t="n">
        <f aca="false">C7/Hypothèses!D17</f>
        <v>58.6957328308692</v>
      </c>
    </row>
    <row r="9" customFormat="false" ht="15" hidden="false" customHeight="false" outlineLevel="0" collapsed="false">
      <c r="A9" s="3" t="s">
        <v>229</v>
      </c>
      <c r="B9" s="3" t="s">
        <v>230</v>
      </c>
    </row>
    <row r="11" customFormat="false" ht="15" hidden="false" customHeight="false" outlineLevel="0" collapsed="false">
      <c r="A11" s="4" t="s">
        <v>231</v>
      </c>
      <c r="B11" s="5"/>
      <c r="C11" s="5"/>
      <c r="D11" s="5"/>
      <c r="E11" s="5"/>
      <c r="F11" s="5"/>
    </row>
    <row r="12" customFormat="false" ht="15" hidden="false" customHeight="false" outlineLevel="0" collapsed="false">
      <c r="A12" s="2" t="s">
        <v>232</v>
      </c>
      <c r="B12" s="23" t="n">
        <f aca="false">Hypothèses!B14</f>
        <v>15</v>
      </c>
    </row>
    <row r="13" customFormat="false" ht="15" hidden="false" customHeight="false" outlineLevel="0" collapsed="false">
      <c r="A13" s="2" t="s">
        <v>233</v>
      </c>
      <c r="B13" s="35" t="n">
        <f aca="false">B12/Hypothèses!B7</f>
        <v>25</v>
      </c>
    </row>
    <row r="14" customFormat="false" ht="15" hidden="false" customHeight="false" outlineLevel="0" collapsed="false">
      <c r="A14" s="2" t="s">
        <v>234</v>
      </c>
      <c r="B14" s="35" t="n">
        <f aca="false">B13/Hypothèses!B23</f>
        <v>62.5</v>
      </c>
    </row>
    <row r="15" customFormat="false" ht="15" hidden="false" customHeight="false" outlineLevel="0" collapsed="false">
      <c r="A15" s="2" t="s">
        <v>235</v>
      </c>
      <c r="B15" s="35" t="n">
        <f aca="false">B14/Hypothèses!B22</f>
        <v>125</v>
      </c>
    </row>
    <row r="16" customFormat="false" ht="15" hidden="false" customHeight="false" outlineLevel="0" collapsed="false">
      <c r="A16" s="2" t="s">
        <v>236</v>
      </c>
      <c r="B16" s="35" t="n">
        <f aca="false">B15/Hypothèses!B21</f>
        <v>500</v>
      </c>
      <c r="F16" s="3" t="s">
        <v>237</v>
      </c>
    </row>
    <row r="18" customFormat="false" ht="15" hidden="false" customHeight="false" outlineLevel="0" collapsed="false">
      <c r="A18" s="4" t="s">
        <v>238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2" t="s">
        <v>239</v>
      </c>
      <c r="B19" s="26" t="n">
        <f aca="false">'Compte de résultat'!D14</f>
        <v>1954184.7360625</v>
      </c>
    </row>
    <row r="20" customFormat="false" ht="15" hidden="false" customHeight="false" outlineLevel="0" collapsed="false">
      <c r="A20" s="2" t="s">
        <v>240</v>
      </c>
      <c r="B20" s="26" t="n">
        <f aca="false">'Compte de résultat'!D9*0.7+SUM('Compte de résultat'!D10:D13)</f>
        <v>334793.4296875</v>
      </c>
      <c r="F20" s="3" t="s">
        <v>241</v>
      </c>
    </row>
    <row r="21" customFormat="false" ht="15" hidden="false" customHeight="false" outlineLevel="0" collapsed="false">
      <c r="A21" s="2" t="s">
        <v>242</v>
      </c>
      <c r="B21" s="26" t="n">
        <f aca="false">'Compte de résultat'!D7*0.8+'Compte de résultat'!D8+SUM('Compte de résultat'!D10:D13)</f>
        <v>608191.956062501</v>
      </c>
    </row>
    <row r="22" customFormat="false" ht="15" hidden="false" customHeight="false" outlineLevel="0" collapsed="false">
      <c r="A22" s="2" t="s">
        <v>243</v>
      </c>
      <c r="B22" s="26" t="n">
        <f aca="false">'Compte de résultat'!D7*(9.4/Hypothèses!D11)*0.8+SUM('Compte de résultat'!D10:D13)</f>
        <v>1399211.66007566</v>
      </c>
    </row>
    <row r="24" customFormat="false" ht="15" hidden="false" customHeight="false" outlineLevel="0" collapsed="false">
      <c r="A24" s="4" t="s">
        <v>244</v>
      </c>
      <c r="B24" s="5"/>
      <c r="C24" s="5"/>
      <c r="D24" s="5"/>
      <c r="E24" s="5"/>
      <c r="F24" s="5"/>
    </row>
    <row r="25" customFormat="false" ht="15" hidden="false" customHeight="false" outlineLevel="0" collapsed="false">
      <c r="A25" s="2" t="s">
        <v>245</v>
      </c>
      <c r="B25" s="26" t="n">
        <f aca="false">-MIN(Trimestriel!B44:M44)</f>
        <v>917604.60625</v>
      </c>
    </row>
    <row r="26" customFormat="false" ht="15" hidden="false" customHeight="false" outlineLevel="0" collapsed="false">
      <c r="A26" s="2" t="s">
        <v>246</v>
      </c>
      <c r="B26" s="26" t="n">
        <f aca="false">B25+0.3*Trimestriel!O25</f>
        <v>1430623.5025</v>
      </c>
      <c r="F26" s="3" t="s">
        <v>247</v>
      </c>
    </row>
    <row r="27" customFormat="false" ht="15" hidden="false" customHeight="false" outlineLevel="0" collapsed="false">
      <c r="A27" s="9" t="s">
        <v>248</v>
      </c>
      <c r="B27" s="32" t="n">
        <f aca="false">Hypothèses!B66</f>
        <v>1500000</v>
      </c>
    </row>
    <row r="28" customFormat="false" ht="15" hidden="false" customHeight="false" outlineLevel="0" collapsed="false">
      <c r="A28" s="2" t="s">
        <v>249</v>
      </c>
      <c r="B28" s="30" t="n">
        <f aca="false">IFERROR(B27/B26-1,"")</f>
        <v>0.0484938891181121</v>
      </c>
    </row>
    <row r="29" customFormat="false" ht="15" hidden="false" customHeight="false" outlineLevel="0" collapsed="false">
      <c r="A29" s="2" t="s">
        <v>250</v>
      </c>
      <c r="B29" s="26" t="n">
        <f aca="false">MIN(Trimestriel!B43:M43)</f>
        <v>602395.39375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2026-08-04T13:30:26Z</dcterms:created>
  <dc:creator>openpyxl</dc:creator>
  <dc:description/>
  <dc:language>en-US</dc:language>
  <cp:lastModifiedBy/>
  <dcterms:modified xsi:type="dcterms:W3CDTF">2026-08-04T13:30:26Z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