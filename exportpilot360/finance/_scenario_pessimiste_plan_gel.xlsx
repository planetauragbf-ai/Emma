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ypothèses" sheetId="1" state="visible" r:id="rId3"/>
    <sheet name="Mensuel" sheetId="2" state="visible" r:id="rId4"/>
    <sheet name="Synthè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<sst xmlns="http://schemas.openxmlformats.org/spreadsheetml/2006/main" count="435" uniqueCount="243">
  <si>
    <t xml:space="preserve">EXPORTPILOT 360 — HYPOTHÈSES DU BUSINESS PLAN</t>
  </si>
  <si>
    <t xml:space="preserve">Bleu = hypothèse modifiable · noir = formule · fond jaune = hypothèse clé. Montants en € HT. Aucune donnée ne provient d'un client réel : tout est hypothèse à valider sur le terrain.</t>
  </si>
  <si>
    <t xml:space="preserve">Scénario actif (1 = pessimiste · 2 = central · 3 = optimiste)</t>
  </si>
  <si>
    <t xml:space="preserve">1. OFFRES ET PRIX (abonnement mensuel, engagement 12 mois)</t>
  </si>
  <si>
    <t xml:space="preserve">Offre « Caveau » — prix mensuel</t>
  </si>
  <si>
    <t xml:space="preserve">WinePass : QR dégustation, fiche vins, contacts, relances FR</t>
  </si>
  <si>
    <t xml:space="preserve">Offre « Export » — prix mensuel</t>
  </si>
  <si>
    <t xml:space="preserve">+ réachat international, prix rendu partenaires, 4 langues, suivi</t>
  </si>
  <si>
    <t xml:space="preserve">Offre « Signature » — prix mensuel</t>
  </si>
  <si>
    <t xml:space="preserve">+ multi-sites, intégrations e-shop/caisse, coaching trimestriel</t>
  </si>
  <si>
    <t xml:space="preserve">Mix des nouveaux clients — Caveau</t>
  </si>
  <si>
    <t xml:space="preserve">Mix des nouveaux clients — Export</t>
  </si>
  <si>
    <t xml:space="preserve">Mix des nouveaux clients — Signature</t>
  </si>
  <si>
    <t xml:space="preserve">Prix mensuel moyen pondéré (ARPA abonnement)</t>
  </si>
  <si>
    <t xml:space="preserve">Frais de mise en service (par nouveau client)</t>
  </si>
  <si>
    <t xml:space="preserve">Paramétrage, import catalogue, formation équipe 1 h, kit QR</t>
  </si>
  <si>
    <t xml:space="preserve">Nombre de domaines pilotes (mise en service offerte + 3 mois gratuits)</t>
  </si>
  <si>
    <t xml:space="preserve">Mois gratuits accordés aux pilotes</t>
  </si>
  <si>
    <t xml:space="preserve">2. REVENUS COMPLÉMENTAIRES</t>
  </si>
  <si>
    <t xml:space="preserve">Commission sur la valeur vin des réachats passés par la plateforme</t>
  </si>
  <si>
    <t xml:space="preserve">Panier vin moyen d'un réachat international (€ TTC encaissés par le domaine)</t>
  </si>
  <si>
    <t xml:space="preserve">Part des clients ayant le réachat international (Export + Signature)</t>
  </si>
  <si>
    <t xml:space="preserve">Réachats par client éligible et par an (montée en charge du fichier)</t>
  </si>
  <si>
    <t xml:space="preserve">Hypothèse prudente, à mesurer chez les pilotes</t>
  </si>
  <si>
    <t xml:space="preserve">Part des nouveaux clients achetant un pack DomaineDigital</t>
  </si>
  <si>
    <t xml:space="preserve">Prix moyen d'un pack DomaineDigital</t>
  </si>
  <si>
    <t xml:space="preserve">Coût des freelances pour les packs (en % du prix)</t>
  </si>
  <si>
    <t xml:space="preserve">3. ACQUISITION ET RÉTENTION (pilotées par le scénario)</t>
  </si>
  <si>
    <t xml:space="preserve">Pessimiste</t>
  </si>
  <si>
    <t xml:space="preserve">Central</t>
  </si>
  <si>
    <t xml:space="preserve">Optimiste</t>
  </si>
  <si>
    <t xml:space="preserve">→ retenu</t>
  </si>
  <si>
    <t xml:space="preserve">Nouveaux domaines signés — 2027</t>
  </si>
  <si>
    <t xml:space="preserve">Nouveaux domaines signés — 2028</t>
  </si>
  <si>
    <t xml:space="preserve">Nouveaux domaines signés — 2029</t>
  </si>
  <si>
    <t xml:space="preserve">Churn mensuel (résiliations / clients actifs)</t>
  </si>
  <si>
    <t xml:space="preserve">4. SAISONNALITÉ DES SIGNATURES (part annuelle signée chaque mois)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</si>
  <si>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</si>
  <si>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</si>
  <si>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</si>
  <si>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</si>
  <si>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</si>
  <si>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</si>
  <si>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</si>
  <si>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</si>
  <si>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</si>
  <si>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</si>
  <si>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</si>
  <si>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</si>
  <si>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2027 (MVP disponible en mars : pas de signature avant)</t>
  </si>
  <si>
    <t xml:space="preserve">2028-2029 (vente en basse saison caveau : nov. → avril)</t>
  </si>
  <si>
    <t xml:space="preserve">5. ÉQUIPE (coût employeur mensuel chargé, € — 0 = absent)</t>
  </si>
  <si>
    <t xml:space="preserve">Rôle</t>
  </si>
  <si>
    <t xml:space="preserve">Entrée (mois n°)</t>
  </si>
  <si>
    <t xml:space="preserve">2027</t>
  </si>
  <si>
    <t xml:space="preserve">2028</t>
  </si>
  <si>
    <t xml:space="preserve">2029</t>
  </si>
  <si>
    <t xml:space="preserve">CEO — fondatrice (vente, partenariats, finance)</t>
  </si>
  <si>
    <t xml:space="preserve">CTO — cofondateur associé (produit, tech)</t>
  </si>
  <si>
    <t xml:space="preserve">Business developer terrain n°1</t>
  </si>
  <si>
    <t xml:space="preserve">Alternant(e) marketing digital</t>
  </si>
  <si>
    <t xml:space="preserve">Développeur(se) full-stack</t>
  </si>
  <si>
    <t xml:space="preserve">Business developer terrain n°2</t>
  </si>
  <si>
    <t xml:space="preserve">Customer success / onboarding</t>
  </si>
  <si>
    <t xml:space="preserve">Mois n° : 1 = nov. 2026, 3 = janv. 2027, 11 = sept. 2027, 15 = janv. 2028, 23 = sept. 2028, 27 = janv. 2029. Fondateurs non rémunérés pendant l'ante-création. Variable commercial inclus dans le coût BizDev.</t>
  </si>
  <si>
    <t xml:space="preserve">6. CHARGES D'EXPLOITATION</t>
  </si>
  <si>
    <t xml:space="preserve">Hébergement UE, monitoring, licences techniques — fixe mensuel</t>
  </si>
  <si>
    <t xml:space="preserve">Coût variable par client actif et par mois (hébergement, e-mails/SMS, traduction API)</t>
  </si>
  <si>
    <t xml:space="preserve">Marketing digital (LinkedIn, contenus, SEO) — mensuel</t>
  </si>
  <si>
    <t xml:space="preserve">Déplacements terrain — mensuel</t>
  </si>
  <si>
    <t xml:space="preserve">Salons — février (Wine Paris / Vinexpo Paris)</t>
  </si>
  <si>
    <t xml:space="preserve">Salons — juin (salons régionaux, rencontres œnotourisme)</t>
  </si>
  <si>
    <t xml:space="preserve">Salons — novembre (Sitevi / salons des vignerons)</t>
  </si>
  <si>
    <t xml:space="preserve">Frais généraux mensuels (comptable, assurances RC/cyber, banque, outils internes)</t>
  </si>
  <si>
    <t xml:space="preserve">Coworking — mensuel</t>
  </si>
  <si>
    <t xml:space="preserve">Juridique annuel (CGU/CGV, RGPD, contrats partenaires) — janvier</t>
  </si>
  <si>
    <t xml:space="preserve">Prime d'apport versée aux prescripteurs, par client apporté</t>
  </si>
  <si>
    <t xml:space="preserve">Part des nouveaux clients apportés par des prescripteurs</t>
  </si>
  <si>
    <t xml:space="preserve">Développement MVP sous-traité (freelance) — par mois, déc. 2026 → avril 2027</t>
  </si>
  <si>
    <t xml:space="preserve">Maintenance freelance — par mois, mai → déc. 2027</t>
  </si>
  <si>
    <t xml:space="preserve">Ante-création : statuts, CGU/CGV, RGPD, marque INPI, création (nov. 2026)</t>
  </si>
  <si>
    <t xml:space="preserve">Ante-création : site vitrine, identité visuelle, maquettes (déc. 2026)</t>
  </si>
  <si>
    <t xml:space="preserve">Investissement initial : 2 ordinateurs + 2 tablettes de démonstration (déc. 2026)</t>
  </si>
  <si>
    <t xml:space="preserve">Équipement par recrutement (ordinateur)</t>
  </si>
  <si>
    <t xml:space="preserve">Durée d'amortissement du matériel (mois)</t>
  </si>
  <si>
    <t xml:space="preserve">7. FINANCEMENT</t>
  </si>
  <si>
    <t xml:space="preserve">Apport en capital des fondateurs (nov. 2026)</t>
  </si>
  <si>
    <t xml:space="preserve">Prêts d'honneur des fondateurs apportés en compte courant (déc. 2026)</t>
  </si>
  <si>
    <t xml:space="preserve">2 × 20 k€, prêts personnels à 0 %, remboursés par les fondateurs</t>
  </si>
  <si>
    <t xml:space="preserve">Subvention Bourse French Tech — 1re tranche (mars 2027)</t>
  </si>
  <si>
    <t xml:space="preserve">À confirmer auprès de Bpifrance</t>
  </si>
  <si>
    <t xml:space="preserve">Subvention Bourse French Tech — solde (mars 2028)</t>
  </si>
  <si>
    <t xml:space="preserve">Prêt bancaire (janv. 2027)</t>
  </si>
  <si>
    <t xml:space="preserve">Taux annuel du prêt bancaire</t>
  </si>
  <si>
    <t xml:space="preserve">Durée du prêt (mois), remboursement dès février 2027</t>
  </si>
  <si>
    <t xml:space="preserve">Levée en fonds propres — business angels (mars 2027) : MONTANT SOLLICITÉ</t>
  </si>
  <si>
    <t xml:space="preserve">Levée seed éventuelle (non retenue dans le central)</t>
  </si>
  <si>
    <t xml:space="preserve">IS — taux réduit PME (jusqu'à 42 500 € de bénéfice)</t>
  </si>
  <si>
    <t xml:space="preserve">IS — taux normal</t>
  </si>
  <si>
    <t xml:space="preserve">MOTEUR MENSUEL — nov. 2026 → déc. 2029 (mois 1 à 38)</t>
  </si>
  <si>
    <t xml:space="preserve">Mois</t>
  </si>
  <si>
    <t xml:space="preserve">nov 26</t>
  </si>
  <si>
    <t xml:space="preserve">déc 26</t>
  </si>
  <si>
    <t xml:space="preserve">janv 27</t>
  </si>
  <si>
    <t xml:space="preserve">févr 27</t>
  </si>
  <si>
    <t xml:space="preserve">mars 27</t>
  </si>
  <si>
    <t xml:space="preserve">avr 27</t>
  </si>
  <si>
    <t xml:space="preserve">mai 27</t>
  </si>
  <si>
    <t xml:space="preserve">juin 27</t>
  </si>
  <si>
    <t xml:space="preserve">juil 27</t>
  </si>
  <si>
    <t xml:space="preserve">août 27</t>
  </si>
  <si>
    <t xml:space="preserve">sept 27</t>
  </si>
  <si>
    <t xml:space="preserve">oct 27</t>
  </si>
  <si>
    <t xml:space="preserve">nov 27</t>
  </si>
  <si>
    <t xml:space="preserve">déc 27</t>
  </si>
  <si>
    <t xml:space="preserve">janv 28</t>
  </si>
  <si>
    <t xml:space="preserve">févr 28</t>
  </si>
  <si>
    <t xml:space="preserve">mars 28</t>
  </si>
  <si>
    <t xml:space="preserve">avr 28</t>
  </si>
  <si>
    <t xml:space="preserve">mai 28</t>
  </si>
  <si>
    <t xml:space="preserve">juin 28</t>
  </si>
  <si>
    <t xml:space="preserve">juil 28</t>
  </si>
  <si>
    <t xml:space="preserve">août 28</t>
  </si>
  <si>
    <t xml:space="preserve">sept 28</t>
  </si>
  <si>
    <t xml:space="preserve">oct 28</t>
  </si>
  <si>
    <t xml:space="preserve">nov 28</t>
  </si>
  <si>
    <t xml:space="preserve">déc 28</t>
  </si>
  <si>
    <t xml:space="preserve">janv 29</t>
  </si>
  <si>
    <t xml:space="preserve">févr 29</t>
  </si>
  <si>
    <t xml:space="preserve">mars 29</t>
  </si>
  <si>
    <t xml:space="preserve">avr 29</t>
  </si>
  <si>
    <t xml:space="preserve">mai 29</t>
  </si>
  <si>
    <t xml:space="preserve">juin 29</t>
  </si>
  <si>
    <t xml:space="preserve">juil 29</t>
  </si>
  <si>
    <t xml:space="preserve">août 29</t>
  </si>
  <si>
    <t xml:space="preserve">sept 29</t>
  </si>
  <si>
    <t xml:space="preserve">oct 29</t>
  </si>
  <si>
    <t xml:space="preserve">nov 29</t>
  </si>
  <si>
    <t xml:space="preserve">déc 29</t>
  </si>
  <si>
    <t xml:space="preserve">Exercice</t>
  </si>
  <si>
    <t xml:space="preserve">CLIENTS</t>
  </si>
  <si>
    <t xml:space="preserve">Nouveaux domaines signés</t>
  </si>
  <si>
    <t xml:space="preserve">Cumul des signatures</t>
  </si>
  <si>
    <t xml:space="preserve">Domaines actifs (fin de mois)</t>
  </si>
  <si>
    <t xml:space="preserve">Résiliations</t>
  </si>
  <si>
    <t xml:space="preserve">dont pilotes signés ce mois</t>
  </si>
  <si>
    <t xml:space="preserve">Mises en service facturées</t>
  </si>
  <si>
    <t xml:space="preserve">REVENUS (€ HT)</t>
  </si>
  <si>
    <t xml:space="preserve">MRR — revenu mensuel récurrent (abonnements)</t>
  </si>
  <si>
    <t xml:space="preserve">Mois offerts aux pilotes</t>
  </si>
  <si>
    <t xml:space="preserve">CA abonnements facturé</t>
  </si>
  <si>
    <t xml:space="preserve">CA mises en service</t>
  </si>
  <si>
    <t xml:space="preserve">CA commissions réachats</t>
  </si>
  <si>
    <t xml:space="preserve">0</t>
  </si>
  <si>
    <t xml:space="preserve">CA packs DomaineDigital</t>
  </si>
  <si>
    <t xml:space="preserve">CHIFFRE D'AFFAIRES TOTAL</t>
  </si>
  <si>
    <t xml:space="preserve">COÛTS DIRECTS</t>
  </si>
  <si>
    <t xml:space="preserve">Coûts variables d'infrastructure</t>
  </si>
  <si>
    <t xml:space="preserve">Freelances packs DomaineDigital</t>
  </si>
  <si>
    <t xml:space="preserve">MARGE BRUTE</t>
  </si>
  <si>
    <t xml:space="preserve">CHARGES D'EXPLOITATION</t>
  </si>
  <si>
    <t xml:space="preserve">Salaire chargé — CEO — fondatrice (vente, partenariats, finance)</t>
  </si>
  <si>
    <t xml:space="preserve">Salaire chargé — CTO — cofondateur associé (produit, tech)</t>
  </si>
  <si>
    <t xml:space="preserve">Salaire chargé — Business developer terrain n°1</t>
  </si>
  <si>
    <t xml:space="preserve">Salaire chargé — Alternant(e) marketing digital</t>
  </si>
  <si>
    <t xml:space="preserve">Salaire chargé — Développeur(se) full-stack</t>
  </si>
  <si>
    <t xml:space="preserve">Salaire chargé — Business developer terrain n°2</t>
  </si>
  <si>
    <t xml:space="preserve">Salaire chargé — Customer success / onboarding</t>
  </si>
  <si>
    <t xml:space="preserve">Total salaires et charges sociales</t>
  </si>
  <si>
    <t xml:space="preserve">Développement sous-traité (MVP puis maintenance)</t>
  </si>
  <si>
    <t xml:space="preserve">Hébergement et licences techniques (fixe)</t>
  </si>
  <si>
    <t xml:space="preserve">Marketing, salons, déplacements, primes d'apport</t>
  </si>
  <si>
    <t xml:space="preserve">Frais généraux (dont ante-création)</t>
  </si>
  <si>
    <t xml:space="preserve">TOTAL CHARGES D'EXPLOITATION</t>
  </si>
  <si>
    <t xml:space="preserve">EBE (EBITDA)</t>
  </si>
  <si>
    <t xml:space="preserve">EBE glissant 3 mois (repère du point mort)</t>
  </si>
  <si>
    <t xml:space="preserve">Point mort atteint (EBE glissant 3 mois &gt; 0 et le reste)</t>
  </si>
  <si>
    <t xml:space="preserve">INVESTISSEMENTS ET AMORTISSEMENTS</t>
  </si>
  <si>
    <t xml:space="preserve">Investissements matériels</t>
  </si>
  <si>
    <t xml:space="preserve">Dotations aux amortissements</t>
  </si>
  <si>
    <t xml:space="preserve">FINANCEMENT</t>
  </si>
  <si>
    <t xml:space="preserve">Échéance du prêt bancaire</t>
  </si>
  <si>
    <t xml:space="preserve">Capital restant dû (fin de mois)</t>
  </si>
  <si>
    <t xml:space="preserve">Intérêts d'emprunt</t>
  </si>
  <si>
    <t xml:space="preserve">Remboursement du capital</t>
  </si>
  <si>
    <t xml:space="preserve">Apports, prêts, subventions, levée</t>
  </si>
  <si>
    <t xml:space="preserve">dont subvention (produit exceptionnel en CR)</t>
  </si>
  <si>
    <t xml:space="preserve">RÉSULTAT ET TRÉSORERIE</t>
  </si>
  <si>
    <t xml:space="preserve">Résultat d'exploitation</t>
  </si>
  <si>
    <t xml:space="preserve">Résultat avant impôt (y c. subvention)</t>
  </si>
  <si>
    <t xml:space="preserve">Impôt sur les sociétés (calculé en décembre, onglet Synthèse)</t>
  </si>
  <si>
    <t xml:space="preserve">Résultat net</t>
  </si>
  <si>
    <t xml:space="preserve">Flux de trésorerie du mois</t>
  </si>
  <si>
    <t xml:space="preserve">TRÉSORERIE FIN DE MOIS</t>
  </si>
  <si>
    <t xml:space="preserve">SYNTHÈSE — compte de résultat, plan de financement, KPI, seuil de rentabilité</t>
  </si>
  <si>
    <t xml:space="preserve">COMPTE DE RÉSULTAT (€ HT)</t>
  </si>
  <si>
    <t xml:space="preserve">Ante-création
(nov.-déc. 26)</t>
  </si>
  <si>
    <t xml:space="preserve">CA abonnements</t>
  </si>
  <si>
    <t xml:space="preserve">Chiffre d'affaires total</t>
  </si>
  <si>
    <t xml:space="preserve">Coûts directs (infrastructure variable + freelances)</t>
  </si>
  <si>
    <t xml:space="preserve">Marge brute</t>
  </si>
  <si>
    <t xml:space="preserve">Taux de marge brute</t>
  </si>
  <si>
    <t xml:space="preserve">Salaires et charges sociales</t>
  </si>
  <si>
    <t xml:space="preserve">Développement sous-traité + hébergement</t>
  </si>
  <si>
    <t xml:space="preserve">Marketing, salons, déplacements</t>
  </si>
  <si>
    <t xml:space="preserve">Frais généraux</t>
  </si>
  <si>
    <t xml:space="preserve">Amortissements</t>
  </si>
  <si>
    <t xml:space="preserve">Charges financières</t>
  </si>
  <si>
    <t xml:space="preserve">Subvention d'exploitation (Bourse French Tech)</t>
  </si>
  <si>
    <t xml:space="preserve">Résultat avant impôt</t>
  </si>
  <si>
    <t xml:space="preserve">Base imposable cumulée (report des déficits)</t>
  </si>
  <si>
    <t xml:space="preserve">Impôt sur les sociétés</t>
  </si>
  <si>
    <t xml:space="preserve">PLAN DE FINANCEMENT (€)</t>
  </si>
  <si>
    <t xml:space="preserve">Capacité d'autofinancement (EBE − IS − intérêts)</t>
  </si>
  <si>
    <t xml:space="preserve">Apport en capital des fondateurs</t>
  </si>
  <si>
    <t xml:space="preserve">Comptes courants (prêts d'honneur des fondateurs)</t>
  </si>
  <si>
    <t xml:space="preserve">Levée de fonds propres (business angels)</t>
  </si>
  <si>
    <t xml:space="preserve">Emprunt bancaire</t>
  </si>
  <si>
    <t xml:space="preserve">Total ressources (hors subvention, incluse dans la CAF)</t>
  </si>
  <si>
    <t xml:space="preserve">Remboursement du capital emprunté</t>
  </si>
  <si>
    <t xml:space="preserve">Total emplois</t>
  </si>
  <si>
    <t xml:space="preserve">Variation de trésorerie</t>
  </si>
  <si>
    <t xml:space="preserve">Trésorerie de fin de période</t>
  </si>
  <si>
    <t xml:space="preserve">Trésorerie mensuelle minimale de la période</t>
  </si>
  <si>
    <t xml:space="preserve">KPI SaaS</t>
  </si>
  <si>
    <t xml:space="preserve">Domaines actifs au 31/12</t>
  </si>
  <si>
    <t xml:space="preserve">MRR de décembre</t>
  </si>
  <si>
    <t xml:space="preserve">ARR (MRR de décembre × 12)</t>
  </si>
  <si>
    <t xml:space="preserve">Churn annuel équivalent</t>
  </si>
  <si>
    <t xml:space="preserve">Revenu récurrent annuel moyen par domaine (abonnement + commission)</t>
  </si>
  <si>
    <t xml:space="preserve">Dépenses commerciales et marketing (BizDev + 50 % CEO + marketing + alternant)</t>
  </si>
  <si>
    <t xml:space="preserve">CAC — coût d'acquisition par domaine</t>
  </si>
  <si>
    <t xml:space="preserve">Marge brute sur revenus récurrents (hors packs)</t>
  </si>
  <si>
    <t xml:space="preserve">LTV = ARPA × marge brute / churn annuel</t>
  </si>
  <si>
    <t xml:space="preserve">Ratio LTV / CAC</t>
  </si>
  <si>
    <t xml:space="preserve">Délai de récupération du CAC (mois)</t>
  </si>
  <si>
    <t xml:space="preserve">SEUIL DE RENTABILITÉ</t>
  </si>
  <si>
    <t xml:space="preserve">Charges fixes annuelles (opex + amortissements + intérêts − subvention)</t>
  </si>
  <si>
    <t xml:space="preserve">Contribution annuelle d'un domaine actif (abonnement + commission − coût variable)</t>
  </si>
  <si>
    <t xml:space="preserve">Seuil : nombre de domaines actifs nécessaires (moyenne annuelle)</t>
  </si>
  <si>
    <t xml:space="preserve">Seuil exprimé en MRR</t>
  </si>
  <si>
    <t xml:space="preserve">Point mort : mois à partir duquel l'EBE glissant sur 3 mois reste positif (n° de mois, 1 = nov. 2026)</t>
  </si>
  <si>
    <t xml:space="preserve">Trésorerie minimale sur toute la période (€)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</si>
</sst>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%"/>
    <numFmt numFmtId="168" formatCode="#,##0.00"/>
    <numFmt numFmtId="169" formatCode="#,##0"/>
    <numFmt numFmtId="170" formatCode="0.00%"/>
    <numFmt numFmtId="171" formatCode="0%"/>
    <numFmt numFmtId="172" formatCode="#,##0.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14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7EC"/>
      </patternFill>
    </fill>
    <fill>
      <patternFill patternType="solid">
        <fgColor rgb="FF3A1430"/>
        <bgColor rgb="FF333300"/>
      </patternFill>
    </fill>
    <fill>
      <patternFill patternType="solid">
        <fgColor rgb="FFEFE7E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1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</v>
      </c>
    </row>
    <row r="6" customFormat="false" ht="15" hidden="false" customHeight="false" outlineLevel="0" collapsed="false">
      <c r="A6" s="5" t="s">
        <v>3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3" t="s">
        <v>4</v>
      </c>
      <c r="B7" s="7" t="n">
        <v>59</v>
      </c>
      <c r="C7" s="2" t="s">
        <v>5</v>
      </c>
    </row>
    <row r="8" customFormat="false" ht="15" hidden="false" customHeight="false" outlineLevel="0" collapsed="false">
      <c r="A8" s="3" t="s">
        <v>6</v>
      </c>
      <c r="B8" s="7" t="n">
        <v>129</v>
      </c>
      <c r="C8" s="2" t="s">
        <v>7</v>
      </c>
    </row>
    <row r="9" customFormat="false" ht="15" hidden="false" customHeight="false" outlineLevel="0" collapsed="false">
      <c r="A9" s="3" t="s">
        <v>8</v>
      </c>
      <c r="B9" s="7" t="n">
        <v>249</v>
      </c>
      <c r="C9" s="2" t="s">
        <v>9</v>
      </c>
    </row>
    <row r="10" customFormat="false" ht="15" hidden="false" customHeight="false" outlineLevel="0" collapsed="false">
      <c r="A10" s="3" t="s">
        <v>10</v>
      </c>
      <c r="B10" s="8" t="n">
        <v>0.4</v>
      </c>
    </row>
    <row r="11" customFormat="false" ht="15" hidden="false" customHeight="false" outlineLevel="0" collapsed="false">
      <c r="A11" s="3" t="s">
        <v>11</v>
      </c>
      <c r="B11" s="8" t="n">
        <v>0.45</v>
      </c>
    </row>
    <row r="12" customFormat="false" ht="15" hidden="false" customHeight="false" outlineLevel="0" collapsed="false">
      <c r="A12" s="3" t="s">
        <v>12</v>
      </c>
      <c r="B12" s="8" t="n">
        <v>0.15</v>
      </c>
    </row>
    <row r="13" customFormat="false" ht="15" hidden="false" customHeight="false" outlineLevel="0" collapsed="false">
      <c r="A13" s="3" t="s">
        <v>13</v>
      </c>
      <c r="B13" s="9" t="n">
        <f aca="false">Hypothèses!$B$7*Hypothèses!$B$10+Hypothèses!$B$8*Hypothèses!$B$11+Hypothèses!$B$9*Hypothèses!$B$12</f>
        <v>119</v>
      </c>
    </row>
    <row r="14" customFormat="false" ht="15" hidden="false" customHeight="false" outlineLevel="0" collapsed="false">
      <c r="A14" s="3" t="s">
        <v>14</v>
      </c>
      <c r="B14" s="7" t="n">
        <v>390</v>
      </c>
      <c r="C14" s="2" t="s">
        <v>15</v>
      </c>
    </row>
    <row r="15" customFormat="false" ht="15" hidden="false" customHeight="false" outlineLevel="0" collapsed="false">
      <c r="A15" s="3" t="s">
        <v>16</v>
      </c>
      <c r="B15" s="10" t="n">
        <v>10</v>
      </c>
    </row>
    <row r="16" customFormat="false" ht="15" hidden="false" customHeight="false" outlineLevel="0" collapsed="false">
      <c r="A16" s="3" t="s">
        <v>17</v>
      </c>
      <c r="B16" s="10" t="n">
        <v>3</v>
      </c>
    </row>
    <row r="18" customFormat="false" ht="15" hidden="false" customHeight="false" outlineLevel="0" collapsed="false">
      <c r="A18" s="5" t="s">
        <v>18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3" t="s">
        <v>19</v>
      </c>
      <c r="B19" s="8" t="n">
        <v>0.02</v>
      </c>
    </row>
    <row r="20" customFormat="false" ht="15" hidden="false" customHeight="false" outlineLevel="0" collapsed="false">
      <c r="A20" s="3" t="s">
        <v>20</v>
      </c>
      <c r="B20" s="7" t="n">
        <v>250</v>
      </c>
    </row>
    <row r="21" customFormat="false" ht="15" hidden="false" customHeight="false" outlineLevel="0" collapsed="false">
      <c r="A21" s="3" t="s">
        <v>21</v>
      </c>
      <c r="B21" s="11" t="n">
        <f aca="false">Hypothèses!$B$11+Hypothèses!$B$12</f>
        <v>0.6</v>
      </c>
    </row>
    <row r="22" customFormat="false" ht="15" hidden="false" customHeight="false" outlineLevel="0" collapsed="false">
      <c r="A22" s="3" t="s">
        <v>22</v>
      </c>
      <c r="C22" s="10" t="n">
        <v>8</v>
      </c>
      <c r="D22" s="10" t="n">
        <v>14</v>
      </c>
      <c r="E22" s="10" t="n">
        <v>18</v>
      </c>
      <c r="G22" s="2" t="s">
        <v>23</v>
      </c>
    </row>
    <row r="23" customFormat="false" ht="15" hidden="false" customHeight="false" outlineLevel="0" collapsed="false">
      <c r="A23" s="3" t="s">
        <v>24</v>
      </c>
      <c r="B23" s="8" t="n">
        <v>0.3</v>
      </c>
    </row>
    <row r="24" customFormat="false" ht="15" hidden="false" customHeight="false" outlineLevel="0" collapsed="false">
      <c r="A24" s="3" t="s">
        <v>25</v>
      </c>
      <c r="B24" s="7" t="n">
        <v>750</v>
      </c>
    </row>
    <row r="25" customFormat="false" ht="15" hidden="false" customHeight="false" outlineLevel="0" collapsed="false">
      <c r="A25" s="3" t="s">
        <v>26</v>
      </c>
      <c r="B25" s="8" t="n">
        <v>0.6</v>
      </c>
    </row>
    <row r="27" customFormat="false" ht="15" hidden="false" customHeight="false" outlineLevel="0" collapsed="false">
      <c r="A27" s="5" t="s">
        <v>27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12"/>
      <c r="B28" s="12"/>
      <c r="C28" s="12" t="s">
        <v>28</v>
      </c>
      <c r="D28" s="12" t="s">
        <v>29</v>
      </c>
      <c r="E28" s="12" t="s">
        <v>30</v>
      </c>
      <c r="F28" s="12" t="s">
        <v>31</v>
      </c>
    </row>
    <row r="29" customFormat="false" ht="15" hidden="false" customHeight="false" outlineLevel="0" collapsed="false">
      <c r="A29" s="3" t="s">
        <v>32</v>
      </c>
      <c r="C29" s="10" t="n">
        <v>25</v>
      </c>
      <c r="D29" s="10" t="n">
        <v>45</v>
      </c>
      <c r="E29" s="10" t="n">
        <v>65</v>
      </c>
      <c r="F29" s="13" t="n">
        <f aca="false">CHOOSE(Hypothèses!$B$4,C29,D29,E29)</f>
        <v>25</v>
      </c>
    </row>
    <row r="30" customFormat="false" ht="15" hidden="false" customHeight="false" outlineLevel="0" collapsed="false">
      <c r="A30" s="3" t="s">
        <v>33</v>
      </c>
      <c r="C30" s="10" t="n">
        <v>80</v>
      </c>
      <c r="D30" s="10" t="n">
        <v>125</v>
      </c>
      <c r="E30" s="10" t="n">
        <v>180</v>
      </c>
      <c r="F30" s="13" t="n">
        <f aca="false">CHOOSE(Hypothèses!$B$4,C30,D30,E30)</f>
        <v>80</v>
      </c>
    </row>
    <row r="31" customFormat="false" ht="15" hidden="false" customHeight="false" outlineLevel="0" collapsed="false">
      <c r="A31" s="3" t="s">
        <v>34</v>
      </c>
      <c r="C31" s="10" t="n">
        <v>130</v>
      </c>
      <c r="D31" s="10" t="n">
        <v>200</v>
      </c>
      <c r="E31" s="10" t="n">
        <v>290</v>
      </c>
      <c r="F31" s="13" t="n">
        <f aca="false">CHOOSE(Hypothèses!$B$4,C31,D31,E31)</f>
        <v>130</v>
      </c>
    </row>
    <row r="32" customFormat="false" ht="15" hidden="false" customHeight="false" outlineLevel="0" collapsed="false">
      <c r="A32" s="3" t="s">
        <v>35</v>
      </c>
      <c r="C32" s="14" t="n">
        <v>0.025</v>
      </c>
      <c r="D32" s="14" t="n">
        <v>0.015</v>
      </c>
      <c r="E32" s="14" t="n">
        <v>0.01</v>
      </c>
      <c r="F32" s="15" t="n">
        <f aca="false">CHOOSE(Hypothèses!$B$4,C32,D32,E32)</f>
        <v>0.025</v>
      </c>
    </row>
    <row r="34" customFormat="false" ht="15" hidden="false" customHeight="false" outlineLevel="0" collapsed="false">
      <c r="A34" s="5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C35" s="12" t="s">
        <v>37</v>
      </c>
      <c r="D35" s="12" t="s">
        <v>38</v>
      </c>
      <c r="E35" s="12" t="s">
        <v>39</v>
      </c>
      <c r="F35" s="12" t="s">
        <v>40</v>
      </c>
      <c r="G35" s="12" t="s">
        <v>41</v>
      </c>
      <c r="H35" s="12" t="s">
        <v>42</v>
      </c>
      <c r="I35" s="12" t="s">
        <v>43</v>
      </c>
      <c r="J35" s="12" t="s">
        <v>44</v>
      </c>
      <c r="K35" s="12" t="s">
        <v>45</v>
      </c>
      <c r="L35" s="12" t="s">
        <v>46</v>
      </c>
      <c r="M35" s="12" t="s">
        <v>47</v>
      </c>
      <c r="N35" s="12" t="s">
        <v>48</v>
      </c>
    </row>
    <row r="36" customFormat="false" ht="15" hidden="false" customHeight="false" outlineLevel="0" collapsed="false">
      <c r="A36" s="3" t="s">
        <v>49</v>
      </c>
      <c r="C36" s="16" t="n">
        <v>0</v>
      </c>
      <c r="D36" s="16" t="n">
        <v>0</v>
      </c>
      <c r="E36" s="16" t="n">
        <v>0.07</v>
      </c>
      <c r="F36" s="16" t="n">
        <v>0.11</v>
      </c>
      <c r="G36" s="16" t="n">
        <v>0.11</v>
      </c>
      <c r="H36" s="16" t="n">
        <v>0.07</v>
      </c>
      <c r="I36" s="16" t="n">
        <v>0.04</v>
      </c>
      <c r="J36" s="16" t="n">
        <v>0.02</v>
      </c>
      <c r="K36" s="16" t="n">
        <v>0.09</v>
      </c>
      <c r="L36" s="16" t="n">
        <v>0.13</v>
      </c>
      <c r="M36" s="16" t="n">
        <v>0.18</v>
      </c>
      <c r="N36" s="16" t="n">
        <v>0.18</v>
      </c>
      <c r="O36" s="17" t="n">
        <f aca="false">SUM(C36:N36)</f>
        <v>1</v>
      </c>
    </row>
    <row r="37" customFormat="false" ht="15" hidden="false" customHeight="false" outlineLevel="0" collapsed="false">
      <c r="A37" s="3" t="s">
        <v>50</v>
      </c>
      <c r="C37" s="16" t="n">
        <v>0.1</v>
      </c>
      <c r="D37" s="16" t="n">
        <v>0.12</v>
      </c>
      <c r="E37" s="16" t="n">
        <v>0.14</v>
      </c>
      <c r="F37" s="16" t="n">
        <v>0.13</v>
      </c>
      <c r="G37" s="16" t="n">
        <v>0.08</v>
      </c>
      <c r="H37" s="16" t="n">
        <v>0.05</v>
      </c>
      <c r="I37" s="16" t="n">
        <v>0.03</v>
      </c>
      <c r="J37" s="16" t="n">
        <v>0.02</v>
      </c>
      <c r="K37" s="16" t="n">
        <v>0.05</v>
      </c>
      <c r="L37" s="16" t="n">
        <v>0.08</v>
      </c>
      <c r="M37" s="16" t="n">
        <v>0.1</v>
      </c>
      <c r="N37" s="16" t="n">
        <v>0.1</v>
      </c>
      <c r="O37" s="17" t="n">
        <f aca="false">SUM(C37:N37)</f>
        <v>1</v>
      </c>
    </row>
    <row r="39" customFormat="false" ht="15" hidden="false" customHeight="false" outlineLevel="0" collapsed="false">
      <c r="A39" s="5" t="s">
        <v>51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12" t="s">
        <v>52</v>
      </c>
      <c r="B40" s="12" t="s">
        <v>53</v>
      </c>
      <c r="C40" s="12" t="s">
        <v>54</v>
      </c>
      <c r="D40" s="12" t="s">
        <v>55</v>
      </c>
      <c r="E40" s="12" t="s">
        <v>56</v>
      </c>
    </row>
    <row r="41" customFormat="false" ht="15" hidden="false" customHeight="false" outlineLevel="0" collapsed="false">
      <c r="A41" s="3" t="s">
        <v>57</v>
      </c>
      <c r="B41" s="18" t="n">
        <v>3</v>
      </c>
      <c r="C41" s="7" t="n">
        <v>2300</v>
      </c>
      <c r="D41" s="7" t="n">
        <v>3600</v>
      </c>
      <c r="E41" s="7" t="n">
        <v>4600</v>
      </c>
    </row>
    <row r="42" customFormat="false" ht="15" hidden="false" customHeight="false" outlineLevel="0" collapsed="false">
      <c r="A42" s="3" t="s">
        <v>58</v>
      </c>
      <c r="B42" s="18" t="n">
        <v>3</v>
      </c>
      <c r="C42" s="7" t="n">
        <v>2300</v>
      </c>
      <c r="D42" s="7" t="n">
        <v>3600</v>
      </c>
      <c r="E42" s="7" t="n">
        <v>4600</v>
      </c>
    </row>
    <row r="43" customFormat="false" ht="15" hidden="false" customHeight="false" outlineLevel="0" collapsed="false">
      <c r="A43" s="3" t="s">
        <v>59</v>
      </c>
      <c r="B43" s="18" t="n">
        <v>11</v>
      </c>
      <c r="C43" s="7" t="n">
        <v>3900</v>
      </c>
      <c r="D43" s="7" t="n">
        <v>4000</v>
      </c>
      <c r="E43" s="7" t="n">
        <v>4100</v>
      </c>
    </row>
    <row r="44" customFormat="false" ht="15" hidden="false" customHeight="false" outlineLevel="0" collapsed="false">
      <c r="A44" s="3" t="s">
        <v>60</v>
      </c>
      <c r="B44" s="18" t="n">
        <v>11</v>
      </c>
      <c r="C44" s="7" t="n">
        <v>950</v>
      </c>
      <c r="D44" s="7" t="n">
        <v>950</v>
      </c>
      <c r="E44" s="7" t="n">
        <v>950</v>
      </c>
    </row>
    <row r="45" customFormat="false" ht="15" hidden="false" customHeight="false" outlineLevel="0" collapsed="false">
      <c r="A45" s="3" t="s">
        <v>61</v>
      </c>
      <c r="B45" s="18" t="n">
        <v>99</v>
      </c>
      <c r="C45" s="7" t="n">
        <v>0</v>
      </c>
      <c r="D45" s="7" t="n">
        <v>4800</v>
      </c>
      <c r="E45" s="7" t="n">
        <v>4950</v>
      </c>
    </row>
    <row r="46" customFormat="false" ht="15" hidden="false" customHeight="false" outlineLevel="0" collapsed="false">
      <c r="A46" s="3" t="s">
        <v>62</v>
      </c>
      <c r="B46" s="18" t="n">
        <v>99</v>
      </c>
      <c r="C46" s="7" t="n">
        <v>0</v>
      </c>
      <c r="D46" s="7" t="n">
        <v>4000</v>
      </c>
      <c r="E46" s="7" t="n">
        <v>4100</v>
      </c>
    </row>
    <row r="47" customFormat="false" ht="15" hidden="false" customHeight="false" outlineLevel="0" collapsed="false">
      <c r="A47" s="3" t="s">
        <v>63</v>
      </c>
      <c r="B47" s="18" t="n">
        <v>99</v>
      </c>
      <c r="C47" s="7" t="n">
        <v>0</v>
      </c>
      <c r="D47" s="7" t="n">
        <v>0</v>
      </c>
      <c r="E47" s="7" t="n">
        <v>3500</v>
      </c>
    </row>
    <row r="48" customFormat="false" ht="15" hidden="false" customHeight="false" outlineLevel="0" collapsed="false">
      <c r="A48" s="2" t="s">
        <v>64</v>
      </c>
    </row>
    <row r="50" customFormat="false" ht="15" hidden="false" customHeight="false" outlineLevel="0" collapsed="false">
      <c r="A50" s="5" t="s">
        <v>65</v>
      </c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12"/>
      <c r="B51" s="12"/>
      <c r="C51" s="12" t="s">
        <v>54</v>
      </c>
      <c r="D51" s="12" t="s">
        <v>55</v>
      </c>
      <c r="E51" s="12" t="s">
        <v>56</v>
      </c>
    </row>
    <row r="52" customFormat="false" ht="15" hidden="false" customHeight="false" outlineLevel="0" collapsed="false">
      <c r="A52" s="3" t="s">
        <v>66</v>
      </c>
      <c r="C52" s="7" t="n">
        <v>250</v>
      </c>
      <c r="D52" s="7" t="n">
        <v>400</v>
      </c>
      <c r="E52" s="7" t="n">
        <v>600</v>
      </c>
    </row>
    <row r="53" customFormat="false" ht="15" hidden="false" customHeight="false" outlineLevel="0" collapsed="false">
      <c r="A53" s="3" t="s">
        <v>67</v>
      </c>
      <c r="C53" s="7" t="n">
        <v>5</v>
      </c>
      <c r="D53" s="7" t="n">
        <v>5</v>
      </c>
      <c r="E53" s="7" t="n">
        <v>5</v>
      </c>
    </row>
    <row r="54" customFormat="false" ht="15" hidden="false" customHeight="false" outlineLevel="0" collapsed="false">
      <c r="A54" s="3" t="s">
        <v>68</v>
      </c>
      <c r="C54" s="7" t="n">
        <v>300</v>
      </c>
      <c r="D54" s="7" t="n">
        <v>700</v>
      </c>
      <c r="E54" s="7" t="n">
        <v>1200</v>
      </c>
    </row>
    <row r="55" customFormat="false" ht="15" hidden="false" customHeight="false" outlineLevel="0" collapsed="false">
      <c r="A55" s="3" t="s">
        <v>69</v>
      </c>
      <c r="C55" s="7" t="n">
        <v>700</v>
      </c>
      <c r="D55" s="7" t="n">
        <v>1500</v>
      </c>
      <c r="E55" s="7" t="n">
        <v>2500</v>
      </c>
    </row>
    <row r="56" customFormat="false" ht="15" hidden="false" customHeight="false" outlineLevel="0" collapsed="false">
      <c r="A56" s="3" t="s">
        <v>70</v>
      </c>
      <c r="C56" s="7" t="n">
        <v>3000</v>
      </c>
      <c r="D56" s="7" t="n">
        <v>6000</v>
      </c>
      <c r="E56" s="7" t="n">
        <v>10000</v>
      </c>
    </row>
    <row r="57" customFormat="false" ht="15" hidden="false" customHeight="false" outlineLevel="0" collapsed="false">
      <c r="A57" s="3" t="s">
        <v>71</v>
      </c>
      <c r="C57" s="7" t="n">
        <v>0</v>
      </c>
      <c r="D57" s="7" t="n">
        <v>3000</v>
      </c>
      <c r="E57" s="7" t="n">
        <v>5000</v>
      </c>
    </row>
    <row r="58" customFormat="false" ht="15" hidden="false" customHeight="false" outlineLevel="0" collapsed="false">
      <c r="A58" s="3" t="s">
        <v>72</v>
      </c>
      <c r="C58" s="7" t="n">
        <v>2000</v>
      </c>
      <c r="D58" s="7" t="n">
        <v>6000</v>
      </c>
      <c r="E58" s="7" t="n">
        <v>10000</v>
      </c>
    </row>
    <row r="59" customFormat="false" ht="15" hidden="false" customHeight="false" outlineLevel="0" collapsed="false">
      <c r="A59" s="3" t="s">
        <v>73</v>
      </c>
      <c r="C59" s="7" t="n">
        <v>550</v>
      </c>
      <c r="D59" s="7" t="n">
        <v>800</v>
      </c>
      <c r="E59" s="7" t="n">
        <v>1100</v>
      </c>
    </row>
    <row r="60" customFormat="false" ht="15" hidden="false" customHeight="false" outlineLevel="0" collapsed="false">
      <c r="A60" s="3" t="s">
        <v>74</v>
      </c>
      <c r="C60" s="7" t="n">
        <v>200</v>
      </c>
      <c r="D60" s="7" t="n">
        <v>500</v>
      </c>
      <c r="E60" s="7" t="n">
        <v>900</v>
      </c>
    </row>
    <row r="61" customFormat="false" ht="15" hidden="false" customHeight="false" outlineLevel="0" collapsed="false">
      <c r="A61" s="3" t="s">
        <v>75</v>
      </c>
      <c r="C61" s="7" t="n">
        <v>0</v>
      </c>
      <c r="D61" s="7" t="n">
        <v>2000</v>
      </c>
      <c r="E61" s="7" t="n">
        <v>2500</v>
      </c>
    </row>
    <row r="62" customFormat="false" ht="15" hidden="false" customHeight="false" outlineLevel="0" collapsed="false">
      <c r="A62" s="3" t="s">
        <v>76</v>
      </c>
      <c r="B62" s="7" t="n">
        <v>100</v>
      </c>
    </row>
    <row r="63" customFormat="false" ht="15" hidden="false" customHeight="false" outlineLevel="0" collapsed="false">
      <c r="A63" s="3" t="s">
        <v>77</v>
      </c>
      <c r="B63" s="8" t="n">
        <v>0.3</v>
      </c>
    </row>
    <row r="64" customFormat="false" ht="15" hidden="false" customHeight="false" outlineLevel="0" collapsed="false">
      <c r="A64" s="3" t="s">
        <v>78</v>
      </c>
      <c r="B64" s="7" t="n">
        <v>5000</v>
      </c>
    </row>
    <row r="65" customFormat="false" ht="15" hidden="false" customHeight="false" outlineLevel="0" collapsed="false">
      <c r="A65" s="3" t="s">
        <v>79</v>
      </c>
      <c r="B65" s="7" t="n">
        <v>800</v>
      </c>
    </row>
    <row r="66" customFormat="false" ht="15" hidden="false" customHeight="false" outlineLevel="0" collapsed="false">
      <c r="A66" s="3" t="s">
        <v>80</v>
      </c>
      <c r="B66" s="7" t="n">
        <v>5500</v>
      </c>
    </row>
    <row r="67" customFormat="false" ht="15" hidden="false" customHeight="false" outlineLevel="0" collapsed="false">
      <c r="A67" s="3" t="s">
        <v>81</v>
      </c>
      <c r="B67" s="7" t="n">
        <v>2500</v>
      </c>
    </row>
    <row r="68" customFormat="false" ht="15" hidden="false" customHeight="false" outlineLevel="0" collapsed="false">
      <c r="A68" s="3" t="s">
        <v>82</v>
      </c>
      <c r="B68" s="7" t="n">
        <v>3800</v>
      </c>
    </row>
    <row r="69" customFormat="false" ht="15" hidden="false" customHeight="false" outlineLevel="0" collapsed="false">
      <c r="A69" s="3" t="s">
        <v>83</v>
      </c>
      <c r="B69" s="7" t="n">
        <v>1400</v>
      </c>
    </row>
    <row r="70" customFormat="false" ht="15" hidden="false" customHeight="false" outlineLevel="0" collapsed="false">
      <c r="A70" s="3" t="s">
        <v>84</v>
      </c>
      <c r="B70" s="10" t="n">
        <v>36</v>
      </c>
    </row>
    <row r="72" customFormat="false" ht="15" hidden="false" customHeight="false" outlineLevel="0" collapsed="false">
      <c r="A72" s="5" t="s">
        <v>85</v>
      </c>
      <c r="B72" s="6"/>
      <c r="C72" s="6"/>
      <c r="D72" s="6"/>
      <c r="E72" s="6"/>
      <c r="F72" s="6"/>
      <c r="G72" s="6"/>
    </row>
    <row r="73" customFormat="false" ht="15" hidden="false" customHeight="false" outlineLevel="0" collapsed="false">
      <c r="A73" s="3" t="s">
        <v>86</v>
      </c>
      <c r="B73" s="7" t="n">
        <v>10000</v>
      </c>
    </row>
    <row r="74" customFormat="false" ht="15" hidden="false" customHeight="false" outlineLevel="0" collapsed="false">
      <c r="A74" s="3" t="s">
        <v>87</v>
      </c>
      <c r="B74" s="7" t="n">
        <v>40000</v>
      </c>
      <c r="C74" s="2" t="s">
        <v>88</v>
      </c>
    </row>
    <row r="75" customFormat="false" ht="15" hidden="false" customHeight="false" outlineLevel="0" collapsed="false">
      <c r="A75" s="3" t="s">
        <v>89</v>
      </c>
      <c r="B75" s="7" t="n">
        <v>21000</v>
      </c>
      <c r="C75" s="2" t="s">
        <v>90</v>
      </c>
    </row>
    <row r="76" customFormat="false" ht="15" hidden="false" customHeight="false" outlineLevel="0" collapsed="false">
      <c r="A76" s="3" t="s">
        <v>91</v>
      </c>
      <c r="B76" s="7" t="n">
        <v>9000</v>
      </c>
    </row>
    <row r="77" customFormat="false" ht="15" hidden="false" customHeight="false" outlineLevel="0" collapsed="false">
      <c r="A77" s="3" t="s">
        <v>92</v>
      </c>
      <c r="B77" s="7" t="n">
        <v>60000</v>
      </c>
    </row>
    <row r="78" customFormat="false" ht="15" hidden="false" customHeight="false" outlineLevel="0" collapsed="false">
      <c r="A78" s="3" t="s">
        <v>93</v>
      </c>
      <c r="B78" s="8" t="n">
        <v>0.045</v>
      </c>
    </row>
    <row r="79" customFormat="false" ht="15" hidden="false" customHeight="false" outlineLevel="0" collapsed="false">
      <c r="A79" s="3" t="s">
        <v>94</v>
      </c>
      <c r="B79" s="10" t="n">
        <v>60</v>
      </c>
    </row>
    <row r="80" customFormat="false" ht="15" hidden="false" customHeight="false" outlineLevel="0" collapsed="false">
      <c r="A80" s="3" t="s">
        <v>95</v>
      </c>
      <c r="B80" s="19" t="n">
        <v>120000</v>
      </c>
    </row>
    <row r="81" customFormat="false" ht="15" hidden="false" customHeight="false" outlineLevel="0" collapsed="false">
      <c r="A81" s="3" t="s">
        <v>96</v>
      </c>
      <c r="B81" s="7" t="n">
        <v>0</v>
      </c>
    </row>
    <row r="82" customFormat="false" ht="15" hidden="false" customHeight="false" outlineLevel="0" collapsed="false">
      <c r="A82" s="3" t="s">
        <v>97</v>
      </c>
      <c r="B82" s="8" t="n">
        <v>0.15</v>
      </c>
    </row>
    <row r="83" customFormat="false" ht="15" hidden="false" customHeight="false" outlineLevel="0" collapsed="false">
      <c r="A83" s="3" t="s">
        <v>98</v>
      </c>
      <c r="B83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40" min="3" style="0" width="1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12" t="s">
        <v>100</v>
      </c>
      <c r="C3" s="12" t="s">
        <v>101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2" t="s">
        <v>107</v>
      </c>
      <c r="J3" s="12" t="s">
        <v>108</v>
      </c>
      <c r="K3" s="12" t="s">
        <v>109</v>
      </c>
      <c r="L3" s="12" t="s">
        <v>110</v>
      </c>
      <c r="M3" s="12" t="s">
        <v>111</v>
      </c>
      <c r="N3" s="12" t="s">
        <v>112</v>
      </c>
      <c r="O3" s="12" t="s">
        <v>113</v>
      </c>
      <c r="P3" s="12" t="s">
        <v>114</v>
      </c>
      <c r="Q3" s="12" t="s">
        <v>115</v>
      </c>
      <c r="R3" s="12" t="s">
        <v>116</v>
      </c>
      <c r="S3" s="12" t="s">
        <v>117</v>
      </c>
      <c r="T3" s="12" t="s">
        <v>118</v>
      </c>
      <c r="U3" s="12" t="s">
        <v>119</v>
      </c>
      <c r="V3" s="12" t="s">
        <v>120</v>
      </c>
      <c r="W3" s="12" t="s">
        <v>121</v>
      </c>
      <c r="X3" s="12" t="s">
        <v>122</v>
      </c>
      <c r="Y3" s="12" t="s">
        <v>123</v>
      </c>
      <c r="Z3" s="12" t="s">
        <v>124</v>
      </c>
      <c r="AA3" s="12" t="s">
        <v>125</v>
      </c>
      <c r="AB3" s="12" t="s">
        <v>126</v>
      </c>
      <c r="AC3" s="12" t="s">
        <v>127</v>
      </c>
      <c r="AD3" s="12" t="s">
        <v>128</v>
      </c>
      <c r="AE3" s="12" t="s">
        <v>129</v>
      </c>
      <c r="AF3" s="12" t="s">
        <v>130</v>
      </c>
      <c r="AG3" s="12" t="s">
        <v>131</v>
      </c>
      <c r="AH3" s="12" t="s">
        <v>132</v>
      </c>
      <c r="AI3" s="12" t="s">
        <v>133</v>
      </c>
      <c r="AJ3" s="12" t="s">
        <v>134</v>
      </c>
      <c r="AK3" s="12" t="s">
        <v>135</v>
      </c>
      <c r="AL3" s="12" t="s">
        <v>136</v>
      </c>
      <c r="AM3" s="12" t="s">
        <v>137</v>
      </c>
      <c r="AN3" s="12" t="s">
        <v>138</v>
      </c>
    </row>
    <row r="4" customFormat="false" ht="15" hidden="false" customHeight="false" outlineLevel="0" collapsed="false">
      <c r="A4" s="2" t="s">
        <v>139</v>
      </c>
      <c r="C4" s="2" t="n">
        <v>2026</v>
      </c>
      <c r="D4" s="2" t="n">
        <v>2026</v>
      </c>
      <c r="E4" s="2" t="n">
        <v>2027</v>
      </c>
      <c r="F4" s="2" t="n">
        <v>2027</v>
      </c>
      <c r="G4" s="2" t="n">
        <v>2027</v>
      </c>
      <c r="H4" s="2" t="n">
        <v>2027</v>
      </c>
      <c r="I4" s="2" t="n">
        <v>2027</v>
      </c>
      <c r="J4" s="2" t="n">
        <v>2027</v>
      </c>
      <c r="K4" s="2" t="n">
        <v>2027</v>
      </c>
      <c r="L4" s="2" t="n">
        <v>2027</v>
      </c>
      <c r="M4" s="2" t="n">
        <v>2027</v>
      </c>
      <c r="N4" s="2" t="n">
        <v>2027</v>
      </c>
      <c r="O4" s="2" t="n">
        <v>2027</v>
      </c>
      <c r="P4" s="2" t="n">
        <v>2027</v>
      </c>
      <c r="Q4" s="2" t="n">
        <v>2028</v>
      </c>
      <c r="R4" s="2" t="n">
        <v>2028</v>
      </c>
      <c r="S4" s="2" t="n">
        <v>2028</v>
      </c>
      <c r="T4" s="2" t="n">
        <v>2028</v>
      </c>
      <c r="U4" s="2" t="n">
        <v>2028</v>
      </c>
      <c r="V4" s="2" t="n">
        <v>2028</v>
      </c>
      <c r="W4" s="2" t="n">
        <v>2028</v>
      </c>
      <c r="X4" s="2" t="n">
        <v>2028</v>
      </c>
      <c r="Y4" s="2" t="n">
        <v>2028</v>
      </c>
      <c r="Z4" s="2" t="n">
        <v>2028</v>
      </c>
      <c r="AA4" s="2" t="n">
        <v>2028</v>
      </c>
      <c r="AB4" s="2" t="n">
        <v>2028</v>
      </c>
      <c r="AC4" s="2" t="n">
        <v>2029</v>
      </c>
      <c r="AD4" s="2" t="n">
        <v>2029</v>
      </c>
      <c r="AE4" s="2" t="n">
        <v>2029</v>
      </c>
      <c r="AF4" s="2" t="n">
        <v>2029</v>
      </c>
      <c r="AG4" s="2" t="n">
        <v>2029</v>
      </c>
      <c r="AH4" s="2" t="n">
        <v>2029</v>
      </c>
      <c r="AI4" s="2" t="n">
        <v>2029</v>
      </c>
      <c r="AJ4" s="2" t="n">
        <v>2029</v>
      </c>
      <c r="AK4" s="2" t="n">
        <v>2029</v>
      </c>
      <c r="AL4" s="2" t="n">
        <v>2029</v>
      </c>
      <c r="AM4" s="2" t="n">
        <v>2029</v>
      </c>
      <c r="AN4" s="2" t="n">
        <v>2029</v>
      </c>
    </row>
    <row r="6" customFormat="false" ht="15" hidden="false" customHeight="false" outlineLevel="0" collapsed="false">
      <c r="A6" s="5" t="s">
        <v>140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customFormat="false" ht="15" hidden="false" customHeight="false" outlineLevel="0" collapsed="false">
      <c r="A7" s="3" t="s">
        <v>141</v>
      </c>
      <c r="C7" s="20" t="n">
        <v>0</v>
      </c>
      <c r="D7" s="20" t="n">
        <v>0</v>
      </c>
      <c r="E7" s="20" t="n">
        <f aca="false">Hypothèses!$F$29*Hypothèses!C$36</f>
        <v>0</v>
      </c>
      <c r="F7" s="20" t="n">
        <f aca="false">Hypothèses!$F$29*Hypothèses!D$36</f>
        <v>0</v>
      </c>
      <c r="G7" s="20" t="n">
        <f aca="false">Hypothèses!$F$29*Hypothèses!E$36</f>
        <v>1.75</v>
      </c>
      <c r="H7" s="20" t="n">
        <f aca="false">Hypothèses!$F$29*Hypothèses!F$36</f>
        <v>2.75</v>
      </c>
      <c r="I7" s="20" t="n">
        <f aca="false">Hypothèses!$F$29*Hypothèses!G$36</f>
        <v>2.75</v>
      </c>
      <c r="J7" s="20" t="n">
        <f aca="false">Hypothèses!$F$29*Hypothèses!H$36</f>
        <v>1.75</v>
      </c>
      <c r="K7" s="20" t="n">
        <f aca="false">Hypothèses!$F$29*Hypothèses!I$36</f>
        <v>1</v>
      </c>
      <c r="L7" s="20" t="n">
        <f aca="false">Hypothèses!$F$29*Hypothèses!J$36</f>
        <v>0.5</v>
      </c>
      <c r="M7" s="20" t="n">
        <f aca="false">Hypothèses!$F$29*Hypothèses!K$36</f>
        <v>2.25</v>
      </c>
      <c r="N7" s="20" t="n">
        <f aca="false">Hypothèses!$F$29*Hypothèses!L$36</f>
        <v>3.25</v>
      </c>
      <c r="O7" s="20" t="n">
        <f aca="false">Hypothèses!$F$29*Hypothèses!M$36</f>
        <v>4.5</v>
      </c>
      <c r="P7" s="20" t="n">
        <f aca="false">Hypothèses!$F$29*Hypothèses!N$36</f>
        <v>4.5</v>
      </c>
      <c r="Q7" s="20" t="n">
        <f aca="false">Hypothèses!$F$30*Hypothèses!C$37</f>
        <v>8</v>
      </c>
      <c r="R7" s="20" t="n">
        <f aca="false">Hypothèses!$F$30*Hypothèses!D$37</f>
        <v>9.6</v>
      </c>
      <c r="S7" s="20" t="n">
        <f aca="false">Hypothèses!$F$30*Hypothèses!E$37</f>
        <v>11.2</v>
      </c>
      <c r="T7" s="20" t="n">
        <f aca="false">Hypothèses!$F$30*Hypothèses!F$37</f>
        <v>10.4</v>
      </c>
      <c r="U7" s="20" t="n">
        <f aca="false">Hypothèses!$F$30*Hypothèses!G$37</f>
        <v>6.4</v>
      </c>
      <c r="V7" s="20" t="n">
        <f aca="false">Hypothèses!$F$30*Hypothèses!H$37</f>
        <v>4</v>
      </c>
      <c r="W7" s="20" t="n">
        <f aca="false">Hypothèses!$F$30*Hypothèses!I$37</f>
        <v>2.4</v>
      </c>
      <c r="X7" s="20" t="n">
        <f aca="false">Hypothèses!$F$30*Hypothèses!J$37</f>
        <v>1.6</v>
      </c>
      <c r="Y7" s="20" t="n">
        <f aca="false">Hypothèses!$F$30*Hypothèses!K$37</f>
        <v>4</v>
      </c>
      <c r="Z7" s="20" t="n">
        <f aca="false">Hypothèses!$F$30*Hypothèses!L$37</f>
        <v>6.4</v>
      </c>
      <c r="AA7" s="20" t="n">
        <f aca="false">Hypothèses!$F$30*Hypothèses!M$37</f>
        <v>8</v>
      </c>
      <c r="AB7" s="20" t="n">
        <f aca="false">Hypothèses!$F$30*Hypothèses!N$37</f>
        <v>8</v>
      </c>
      <c r="AC7" s="20" t="n">
        <f aca="false">Hypothèses!$F$31*Hypothèses!C$37</f>
        <v>13</v>
      </c>
      <c r="AD7" s="20" t="n">
        <f aca="false">Hypothèses!$F$31*Hypothèses!D$37</f>
        <v>15.6</v>
      </c>
      <c r="AE7" s="20" t="n">
        <f aca="false">Hypothèses!$F$31*Hypothèses!E$37</f>
        <v>18.2</v>
      </c>
      <c r="AF7" s="20" t="n">
        <f aca="false">Hypothèses!$F$31*Hypothèses!F$37</f>
        <v>16.9</v>
      </c>
      <c r="AG7" s="20" t="n">
        <f aca="false">Hypothèses!$F$31*Hypothèses!G$37</f>
        <v>10.4</v>
      </c>
      <c r="AH7" s="20" t="n">
        <f aca="false">Hypothèses!$F$31*Hypothèses!H$37</f>
        <v>6.5</v>
      </c>
      <c r="AI7" s="20" t="n">
        <f aca="false">Hypothèses!$F$31*Hypothèses!I$37</f>
        <v>3.9</v>
      </c>
      <c r="AJ7" s="20" t="n">
        <f aca="false">Hypothèses!$F$31*Hypothèses!J$37</f>
        <v>2.6</v>
      </c>
      <c r="AK7" s="20" t="n">
        <f aca="false">Hypothèses!$F$31*Hypothèses!K$37</f>
        <v>6.5</v>
      </c>
      <c r="AL7" s="20" t="n">
        <f aca="false">Hypothèses!$F$31*Hypothèses!L$37</f>
        <v>10.4</v>
      </c>
      <c r="AM7" s="20" t="n">
        <f aca="false">Hypothèses!$F$31*Hypothèses!M$37</f>
        <v>13</v>
      </c>
      <c r="AN7" s="20" t="n">
        <f aca="false">Hypothèses!$F$31*Hypothèses!N$37</f>
        <v>13</v>
      </c>
    </row>
    <row r="8" customFormat="false" ht="15" hidden="false" customHeight="false" outlineLevel="0" collapsed="false">
      <c r="A8" s="3" t="s">
        <v>142</v>
      </c>
      <c r="C8" s="20" t="n">
        <f aca="false">0+C7</f>
        <v>0</v>
      </c>
      <c r="D8" s="20" t="n">
        <f aca="false">C8+D7</f>
        <v>0</v>
      </c>
      <c r="E8" s="20" t="n">
        <f aca="false">D8+E7</f>
        <v>0</v>
      </c>
      <c r="F8" s="20" t="n">
        <f aca="false">E8+F7</f>
        <v>0</v>
      </c>
      <c r="G8" s="20" t="n">
        <f aca="false">F8+G7</f>
        <v>1.75</v>
      </c>
      <c r="H8" s="20" t="n">
        <f aca="false">G8+H7</f>
        <v>4.5</v>
      </c>
      <c r="I8" s="20" t="n">
        <f aca="false">H8+I7</f>
        <v>7.25</v>
      </c>
      <c r="J8" s="20" t="n">
        <f aca="false">I8+J7</f>
        <v>9</v>
      </c>
      <c r="K8" s="20" t="n">
        <f aca="false">J8+K7</f>
        <v>10</v>
      </c>
      <c r="L8" s="20" t="n">
        <f aca="false">K8+L7</f>
        <v>10.5</v>
      </c>
      <c r="M8" s="20" t="n">
        <f aca="false">L8+M7</f>
        <v>12.75</v>
      </c>
      <c r="N8" s="20" t="n">
        <f aca="false">M8+N7</f>
        <v>16</v>
      </c>
      <c r="O8" s="20" t="n">
        <f aca="false">N8+O7</f>
        <v>20.5</v>
      </c>
      <c r="P8" s="20" t="n">
        <f aca="false">O8+P7</f>
        <v>25</v>
      </c>
      <c r="Q8" s="20" t="n">
        <f aca="false">P8+Q7</f>
        <v>33</v>
      </c>
      <c r="R8" s="20" t="n">
        <f aca="false">Q8+R7</f>
        <v>42.6</v>
      </c>
      <c r="S8" s="20" t="n">
        <f aca="false">R8+S7</f>
        <v>53.8</v>
      </c>
      <c r="T8" s="20" t="n">
        <f aca="false">S8+T7</f>
        <v>64.2</v>
      </c>
      <c r="U8" s="20" t="n">
        <f aca="false">T8+U7</f>
        <v>70.6</v>
      </c>
      <c r="V8" s="20" t="n">
        <f aca="false">U8+V7</f>
        <v>74.6</v>
      </c>
      <c r="W8" s="20" t="n">
        <f aca="false">V8+W7</f>
        <v>77</v>
      </c>
      <c r="X8" s="20" t="n">
        <f aca="false">W8+X7</f>
        <v>78.6</v>
      </c>
      <c r="Y8" s="20" t="n">
        <f aca="false">X8+Y7</f>
        <v>82.6</v>
      </c>
      <c r="Z8" s="20" t="n">
        <f aca="false">Y8+Z7</f>
        <v>89</v>
      </c>
      <c r="AA8" s="20" t="n">
        <f aca="false">Z8+AA7</f>
        <v>97</v>
      </c>
      <c r="AB8" s="20" t="n">
        <f aca="false">AA8+AB7</f>
        <v>105</v>
      </c>
      <c r="AC8" s="20" t="n">
        <f aca="false">AB8+AC7</f>
        <v>118</v>
      </c>
      <c r="AD8" s="20" t="n">
        <f aca="false">AC8+AD7</f>
        <v>133.6</v>
      </c>
      <c r="AE8" s="20" t="n">
        <f aca="false">AD8+AE7</f>
        <v>151.8</v>
      </c>
      <c r="AF8" s="20" t="n">
        <f aca="false">AE8+AF7</f>
        <v>168.7</v>
      </c>
      <c r="AG8" s="20" t="n">
        <f aca="false">AF8+AG7</f>
        <v>179.1</v>
      </c>
      <c r="AH8" s="20" t="n">
        <f aca="false">AG8+AH7</f>
        <v>185.6</v>
      </c>
      <c r="AI8" s="20" t="n">
        <f aca="false">AH8+AI7</f>
        <v>189.5</v>
      </c>
      <c r="AJ8" s="20" t="n">
        <f aca="false">AI8+AJ7</f>
        <v>192.1</v>
      </c>
      <c r="AK8" s="20" t="n">
        <f aca="false">AJ8+AK7</f>
        <v>198.6</v>
      </c>
      <c r="AL8" s="20" t="n">
        <f aca="false">AK8+AL7</f>
        <v>209</v>
      </c>
      <c r="AM8" s="20" t="n">
        <f aca="false">AL8+AM7</f>
        <v>222</v>
      </c>
      <c r="AN8" s="20" t="n">
        <f aca="false">AM8+AN7</f>
        <v>235</v>
      </c>
    </row>
    <row r="9" customFormat="false" ht="15" hidden="false" customHeight="false" outlineLevel="0" collapsed="false">
      <c r="A9" s="12" t="s">
        <v>143</v>
      </c>
      <c r="C9" s="21" t="n">
        <f aca="false">0*(1-Hypothèses!$F$32)+C7</f>
        <v>0</v>
      </c>
      <c r="D9" s="21" t="n">
        <f aca="false">C9*(1-Hypothèses!$F$32)+D7</f>
        <v>0</v>
      </c>
      <c r="E9" s="21" t="n">
        <f aca="false">D9*(1-Hypothèses!$F$32)+E7</f>
        <v>0</v>
      </c>
      <c r="F9" s="21" t="n">
        <f aca="false">E9*(1-Hypothèses!$F$32)+F7</f>
        <v>0</v>
      </c>
      <c r="G9" s="21" t="n">
        <f aca="false">F9*(1-Hypothèses!$F$32)+G7</f>
        <v>1.75</v>
      </c>
      <c r="H9" s="21" t="n">
        <f aca="false">G9*(1-Hypothèses!$F$32)+H7</f>
        <v>4.45625</v>
      </c>
      <c r="I9" s="21" t="n">
        <f aca="false">H9*(1-Hypothèses!$F$32)+I7</f>
        <v>7.09484375</v>
      </c>
      <c r="J9" s="21" t="n">
        <f aca="false">I9*(1-Hypothèses!$F$32)+J7</f>
        <v>8.66747265625</v>
      </c>
      <c r="K9" s="21" t="n">
        <f aca="false">J9*(1-Hypothèses!$F$32)+K7</f>
        <v>9.45078583984375</v>
      </c>
      <c r="L9" s="21" t="n">
        <f aca="false">K9*(1-Hypothèses!$F$32)+L7</f>
        <v>9.71451619384766</v>
      </c>
      <c r="M9" s="21" t="n">
        <f aca="false">L9*(1-Hypothèses!$F$32)+M7</f>
        <v>11.7216532890015</v>
      </c>
      <c r="N9" s="21" t="n">
        <f aca="false">M9*(1-Hypothèses!$F$32)+N7</f>
        <v>14.6786119567764</v>
      </c>
      <c r="O9" s="21" t="n">
        <f aca="false">N9*(1-Hypothèses!$F$32)+O7</f>
        <v>18.811646657857</v>
      </c>
      <c r="P9" s="21" t="n">
        <f aca="false">O9*(1-Hypothèses!$F$32)+P7</f>
        <v>22.8413554914106</v>
      </c>
      <c r="Q9" s="21" t="n">
        <f aca="false">P9*(1-Hypothèses!$F$32)+Q7</f>
        <v>30.2703216041253</v>
      </c>
      <c r="R9" s="21" t="n">
        <f aca="false">Q9*(1-Hypothèses!$F$32)+R7</f>
        <v>39.1135635640222</v>
      </c>
      <c r="S9" s="21" t="n">
        <f aca="false">R9*(1-Hypothèses!$F$32)+S7</f>
        <v>49.3357244749216</v>
      </c>
      <c r="T9" s="21" t="n">
        <f aca="false">S9*(1-Hypothèses!$F$32)+T7</f>
        <v>58.5023313630486</v>
      </c>
      <c r="U9" s="21" t="n">
        <f aca="false">T9*(1-Hypothèses!$F$32)+U7</f>
        <v>63.4397730789724</v>
      </c>
      <c r="V9" s="21" t="n">
        <f aca="false">U9*(1-Hypothèses!$F$32)+V7</f>
        <v>65.8537787519981</v>
      </c>
      <c r="W9" s="21" t="n">
        <f aca="false">V9*(1-Hypothèses!$F$32)+W7</f>
        <v>66.6074342831981</v>
      </c>
      <c r="X9" s="21" t="n">
        <f aca="false">W9*(1-Hypothèses!$F$32)+X7</f>
        <v>66.5422484261182</v>
      </c>
      <c r="Y9" s="21" t="n">
        <f aca="false">X9*(1-Hypothèses!$F$32)+Y7</f>
        <v>68.8786922154652</v>
      </c>
      <c r="Z9" s="21" t="n">
        <f aca="false">Y9*(1-Hypothèses!$F$32)+Z7</f>
        <v>73.5567249100786</v>
      </c>
      <c r="AA9" s="21" t="n">
        <f aca="false">Z9*(1-Hypothèses!$F$32)+AA7</f>
        <v>79.7178067873266</v>
      </c>
      <c r="AB9" s="21" t="n">
        <f aca="false">AA9*(1-Hypothèses!$F$32)+AB7</f>
        <v>85.7248616176435</v>
      </c>
      <c r="AC9" s="21" t="n">
        <f aca="false">AB9*(1-Hypothèses!$F$32)+AC7</f>
        <v>96.5817400772024</v>
      </c>
      <c r="AD9" s="21" t="n">
        <f aca="false">AC9*(1-Hypothèses!$F$32)+AD7</f>
        <v>109.767196575272</v>
      </c>
      <c r="AE9" s="21" t="n">
        <f aca="false">AD9*(1-Hypothèses!$F$32)+AE7</f>
        <v>125.223016660891</v>
      </c>
      <c r="AF9" s="21" t="n">
        <f aca="false">AE9*(1-Hypothèses!$F$32)+AF7</f>
        <v>138.992441244368</v>
      </c>
      <c r="AG9" s="21" t="n">
        <f aca="false">AF9*(1-Hypothèses!$F$32)+AG7</f>
        <v>145.917630213259</v>
      </c>
      <c r="AH9" s="21" t="n">
        <f aca="false">AG9*(1-Hypothèses!$F$32)+AH7</f>
        <v>148.769689457928</v>
      </c>
      <c r="AI9" s="21" t="n">
        <f aca="false">AH9*(1-Hypothèses!$F$32)+AI7</f>
        <v>148.950447221479</v>
      </c>
      <c r="AJ9" s="21" t="n">
        <f aca="false">AI9*(1-Hypothèses!$F$32)+AJ7</f>
        <v>147.826686040942</v>
      </c>
      <c r="AK9" s="21" t="n">
        <f aca="false">AJ9*(1-Hypothèses!$F$32)+AK7</f>
        <v>150.631018889919</v>
      </c>
      <c r="AL9" s="21" t="n">
        <f aca="false">AK9*(1-Hypothèses!$F$32)+AL7</f>
        <v>157.265243417671</v>
      </c>
      <c r="AM9" s="21" t="n">
        <f aca="false">AL9*(1-Hypothèses!$F$32)+AM7</f>
        <v>166.333612332229</v>
      </c>
      <c r="AN9" s="21" t="n">
        <f aca="false">AM9*(1-Hypothèses!$F$32)+AN7</f>
        <v>175.175272023923</v>
      </c>
    </row>
    <row r="10" customFormat="false" ht="15" hidden="false" customHeight="false" outlineLevel="0" collapsed="false">
      <c r="A10" s="3" t="s">
        <v>144</v>
      </c>
      <c r="C10" s="20" t="n">
        <f aca="false">0*Hypothèses!$F$32</f>
        <v>0</v>
      </c>
      <c r="D10" s="20" t="n">
        <f aca="false">C9*Hypothèses!$F$32</f>
        <v>0</v>
      </c>
      <c r="E10" s="20" t="n">
        <f aca="false">D9*Hypothèses!$F$32</f>
        <v>0</v>
      </c>
      <c r="F10" s="20" t="n">
        <f aca="false">E9*Hypothèses!$F$32</f>
        <v>0</v>
      </c>
      <c r="G10" s="20" t="n">
        <f aca="false">F9*Hypothèses!$F$32</f>
        <v>0</v>
      </c>
      <c r="H10" s="20" t="n">
        <f aca="false">G9*Hypothèses!$F$32</f>
        <v>0.04375</v>
      </c>
      <c r="I10" s="20" t="n">
        <f aca="false">H9*Hypothèses!$F$32</f>
        <v>0.11140625</v>
      </c>
      <c r="J10" s="20" t="n">
        <f aca="false">I9*Hypothèses!$F$32</f>
        <v>0.17737109375</v>
      </c>
      <c r="K10" s="20" t="n">
        <f aca="false">J9*Hypothèses!$F$32</f>
        <v>0.21668681640625</v>
      </c>
      <c r="L10" s="20" t="n">
        <f aca="false">K9*Hypothèses!$F$32</f>
        <v>0.236269645996094</v>
      </c>
      <c r="M10" s="20" t="n">
        <f aca="false">L9*Hypothèses!$F$32</f>
        <v>0.242862904846191</v>
      </c>
      <c r="N10" s="20" t="n">
        <f aca="false">M9*Hypothèses!$F$32</f>
        <v>0.293041332225037</v>
      </c>
      <c r="O10" s="20" t="n">
        <f aca="false">N9*Hypothèses!$F$32</f>
        <v>0.366965298919411</v>
      </c>
      <c r="P10" s="20" t="n">
        <f aca="false">O9*Hypothèses!$F$32</f>
        <v>0.470291166446426</v>
      </c>
      <c r="Q10" s="20" t="n">
        <f aca="false">P9*Hypothèses!$F$32</f>
        <v>0.571033887285265</v>
      </c>
      <c r="R10" s="20" t="n">
        <f aca="false">Q9*Hypothèses!$F$32</f>
        <v>0.756758040103133</v>
      </c>
      <c r="S10" s="20" t="n">
        <f aca="false">R9*Hypothèses!$F$32</f>
        <v>0.977839089100555</v>
      </c>
      <c r="T10" s="20" t="n">
        <f aca="false">S9*Hypothèses!$F$32</f>
        <v>1.23339311187304</v>
      </c>
      <c r="U10" s="20" t="n">
        <f aca="false">T9*Hypothèses!$F$32</f>
        <v>1.46255828407622</v>
      </c>
      <c r="V10" s="20" t="n">
        <f aca="false">U9*Hypothèses!$F$32</f>
        <v>1.58599432697431</v>
      </c>
      <c r="W10" s="20" t="n">
        <f aca="false">V9*Hypothèses!$F$32</f>
        <v>1.64634446879995</v>
      </c>
      <c r="X10" s="20" t="n">
        <f aca="false">W9*Hypothèses!$F$32</f>
        <v>1.66518585707995</v>
      </c>
      <c r="Y10" s="20" t="n">
        <f aca="false">X9*Hypothèses!$F$32</f>
        <v>1.66355621065295</v>
      </c>
      <c r="Z10" s="20" t="n">
        <f aca="false">Y9*Hypothèses!$F$32</f>
        <v>1.72196730538663</v>
      </c>
      <c r="AA10" s="20" t="n">
        <f aca="false">Z9*Hypothèses!$F$32</f>
        <v>1.83891812275196</v>
      </c>
      <c r="AB10" s="20" t="n">
        <f aca="false">AA9*Hypothèses!$F$32</f>
        <v>1.99294516968317</v>
      </c>
      <c r="AC10" s="20" t="n">
        <f aca="false">AB9*Hypothèses!$F$32</f>
        <v>2.14312154044109</v>
      </c>
      <c r="AD10" s="20" t="n">
        <f aca="false">AC9*Hypothèses!$F$32</f>
        <v>2.41454350193006</v>
      </c>
      <c r="AE10" s="20" t="n">
        <f aca="false">AD9*Hypothèses!$F$32</f>
        <v>2.74417991438181</v>
      </c>
      <c r="AF10" s="20" t="n">
        <f aca="false">AE9*Hypothèses!$F$32</f>
        <v>3.13057541652226</v>
      </c>
      <c r="AG10" s="20" t="n">
        <f aca="false">AF9*Hypothèses!$F$32</f>
        <v>3.47481103110921</v>
      </c>
      <c r="AH10" s="20" t="n">
        <f aca="false">AG9*Hypothèses!$F$32</f>
        <v>3.64794075533148</v>
      </c>
      <c r="AI10" s="20" t="n">
        <f aca="false">AH9*Hypothèses!$F$32</f>
        <v>3.71924223644819</v>
      </c>
      <c r="AJ10" s="20" t="n">
        <f aca="false">AI9*Hypothèses!$F$32</f>
        <v>3.72376118053698</v>
      </c>
      <c r="AK10" s="20" t="n">
        <f aca="false">AJ9*Hypothèses!$F$32</f>
        <v>3.69566715102356</v>
      </c>
      <c r="AL10" s="20" t="n">
        <f aca="false">AK9*Hypothèses!$F$32</f>
        <v>3.76577547224797</v>
      </c>
      <c r="AM10" s="20" t="n">
        <f aca="false">AL9*Hypothèses!$F$32</f>
        <v>3.93163108544177</v>
      </c>
      <c r="AN10" s="20" t="n">
        <f aca="false">AM9*Hypothèses!$F$32</f>
        <v>4.15834030830573</v>
      </c>
    </row>
    <row r="11" customFormat="false" ht="15" hidden="false" customHeight="false" outlineLevel="0" collapsed="false">
      <c r="A11" s="3" t="s">
        <v>145</v>
      </c>
      <c r="C11" s="20" t="n">
        <f aca="false">MIN(C7,MAX(0,Hypothèses!$B$15-0))</f>
        <v>0</v>
      </c>
      <c r="D11" s="20" t="n">
        <f aca="false">MIN(D7,MAX(0,Hypothèses!$B$15-C8))</f>
        <v>0</v>
      </c>
      <c r="E11" s="20" t="n">
        <f aca="false">MIN(E7,MAX(0,Hypothèses!$B$15-D8))</f>
        <v>0</v>
      </c>
      <c r="F11" s="20" t="n">
        <f aca="false">MIN(F7,MAX(0,Hypothèses!$B$15-E8))</f>
        <v>0</v>
      </c>
      <c r="G11" s="20" t="n">
        <f aca="false">MIN(G7,MAX(0,Hypothèses!$B$15-F8))</f>
        <v>1.75</v>
      </c>
      <c r="H11" s="20" t="n">
        <f aca="false">MIN(H7,MAX(0,Hypothèses!$B$15-G8))</f>
        <v>2.75</v>
      </c>
      <c r="I11" s="20" t="n">
        <f aca="false">MIN(I7,MAX(0,Hypothèses!$B$15-H8))</f>
        <v>2.75</v>
      </c>
      <c r="J11" s="20" t="n">
        <f aca="false">MIN(J7,MAX(0,Hypothèses!$B$15-I8))</f>
        <v>1.75</v>
      </c>
      <c r="K11" s="20" t="n">
        <f aca="false">MIN(K7,MAX(0,Hypothèses!$B$15-J8))</f>
        <v>1</v>
      </c>
      <c r="L11" s="20" t="n">
        <f aca="false">MIN(L7,MAX(0,Hypothèses!$B$15-K8))</f>
        <v>0</v>
      </c>
      <c r="M11" s="20" t="n">
        <f aca="false">MIN(M7,MAX(0,Hypothèses!$B$15-L8))</f>
        <v>0</v>
      </c>
      <c r="N11" s="20" t="n">
        <f aca="false">MIN(N7,MAX(0,Hypothèses!$B$15-M8))</f>
        <v>0</v>
      </c>
      <c r="O11" s="20" t="n">
        <f aca="false">MIN(O7,MAX(0,Hypothèses!$B$15-N8))</f>
        <v>0</v>
      </c>
      <c r="P11" s="20" t="n">
        <f aca="false">MIN(P7,MAX(0,Hypothèses!$B$15-O8))</f>
        <v>0</v>
      </c>
      <c r="Q11" s="20" t="n">
        <f aca="false">MIN(Q7,MAX(0,Hypothèses!$B$15-P8))</f>
        <v>0</v>
      </c>
      <c r="R11" s="20" t="n">
        <f aca="false">MIN(R7,MAX(0,Hypothèses!$B$15-Q8))</f>
        <v>0</v>
      </c>
      <c r="S11" s="20" t="n">
        <f aca="false">MIN(S7,MAX(0,Hypothèses!$B$15-R8))</f>
        <v>0</v>
      </c>
      <c r="T11" s="20" t="n">
        <f aca="false">MIN(T7,MAX(0,Hypothèses!$B$15-S8))</f>
        <v>0</v>
      </c>
      <c r="U11" s="20" t="n">
        <f aca="false">MIN(U7,MAX(0,Hypothèses!$B$15-T8))</f>
        <v>0</v>
      </c>
      <c r="V11" s="20" t="n">
        <f aca="false">MIN(V7,MAX(0,Hypothèses!$B$15-U8))</f>
        <v>0</v>
      </c>
      <c r="W11" s="20" t="n">
        <f aca="false">MIN(W7,MAX(0,Hypothèses!$B$15-V8))</f>
        <v>0</v>
      </c>
      <c r="X11" s="20" t="n">
        <f aca="false">MIN(X7,MAX(0,Hypothèses!$B$15-W8))</f>
        <v>0</v>
      </c>
      <c r="Y11" s="20" t="n">
        <f aca="false">MIN(Y7,MAX(0,Hypothèses!$B$15-X8))</f>
        <v>0</v>
      </c>
      <c r="Z11" s="20" t="n">
        <f aca="false">MIN(Z7,MAX(0,Hypothèses!$B$15-Y8))</f>
        <v>0</v>
      </c>
      <c r="AA11" s="20" t="n">
        <f aca="false">MIN(AA7,MAX(0,Hypothèses!$B$15-Z8))</f>
        <v>0</v>
      </c>
      <c r="AB11" s="20" t="n">
        <f aca="false">MIN(AB7,MAX(0,Hypothèses!$B$15-AA8))</f>
        <v>0</v>
      </c>
      <c r="AC11" s="20" t="n">
        <f aca="false">MIN(AC7,MAX(0,Hypothèses!$B$15-AB8))</f>
        <v>0</v>
      </c>
      <c r="AD11" s="20" t="n">
        <f aca="false">MIN(AD7,MAX(0,Hypothèses!$B$15-AC8))</f>
        <v>0</v>
      </c>
      <c r="AE11" s="20" t="n">
        <f aca="false">MIN(AE7,MAX(0,Hypothèses!$B$15-AD8))</f>
        <v>0</v>
      </c>
      <c r="AF11" s="20" t="n">
        <f aca="false">MIN(AF7,MAX(0,Hypothèses!$B$15-AE8))</f>
        <v>0</v>
      </c>
      <c r="AG11" s="20" t="n">
        <f aca="false">MIN(AG7,MAX(0,Hypothèses!$B$15-AF8))</f>
        <v>0</v>
      </c>
      <c r="AH11" s="20" t="n">
        <f aca="false">MIN(AH7,MAX(0,Hypothèses!$B$15-AG8))</f>
        <v>0</v>
      </c>
      <c r="AI11" s="20" t="n">
        <f aca="false">MIN(AI7,MAX(0,Hypothèses!$B$15-AH8))</f>
        <v>0</v>
      </c>
      <c r="AJ11" s="20" t="n">
        <f aca="false">MIN(AJ7,MAX(0,Hypothèses!$B$15-AI8))</f>
        <v>0</v>
      </c>
      <c r="AK11" s="20" t="n">
        <f aca="false">MIN(AK7,MAX(0,Hypothèses!$B$15-AJ8))</f>
        <v>0</v>
      </c>
      <c r="AL11" s="20" t="n">
        <f aca="false">MIN(AL7,MAX(0,Hypothèses!$B$15-AK8))</f>
        <v>0</v>
      </c>
      <c r="AM11" s="20" t="n">
        <f aca="false">MIN(AM7,MAX(0,Hypothèses!$B$15-AL8))</f>
        <v>0</v>
      </c>
      <c r="AN11" s="20" t="n">
        <f aca="false">MIN(AN7,MAX(0,Hypothèses!$B$15-AM8))</f>
        <v>0</v>
      </c>
    </row>
    <row r="12" customFormat="false" ht="15" hidden="false" customHeight="false" outlineLevel="0" collapsed="false">
      <c r="A12" s="3" t="s">
        <v>146</v>
      </c>
      <c r="C12" s="20" t="n">
        <f aca="false">C7-C11</f>
        <v>0</v>
      </c>
      <c r="D12" s="20" t="n">
        <f aca="false">D7-D11</f>
        <v>0</v>
      </c>
      <c r="E12" s="20" t="n">
        <f aca="false">E7-E11</f>
        <v>0</v>
      </c>
      <c r="F12" s="20" t="n">
        <f aca="false">F7-F11</f>
        <v>0</v>
      </c>
      <c r="G12" s="20" t="n">
        <f aca="false">G7-G11</f>
        <v>0</v>
      </c>
      <c r="H12" s="20" t="n">
        <f aca="false">H7-H11</f>
        <v>0</v>
      </c>
      <c r="I12" s="20" t="n">
        <f aca="false">I7-I11</f>
        <v>0</v>
      </c>
      <c r="J12" s="20" t="n">
        <f aca="false">J7-J11</f>
        <v>0</v>
      </c>
      <c r="K12" s="20" t="n">
        <f aca="false">K7-K11</f>
        <v>0</v>
      </c>
      <c r="L12" s="20" t="n">
        <f aca="false">L7-L11</f>
        <v>0.5</v>
      </c>
      <c r="M12" s="20" t="n">
        <f aca="false">M7-M11</f>
        <v>2.25</v>
      </c>
      <c r="N12" s="20" t="n">
        <f aca="false">N7-N11</f>
        <v>3.25</v>
      </c>
      <c r="O12" s="20" t="n">
        <f aca="false">O7-O11</f>
        <v>4.5</v>
      </c>
      <c r="P12" s="20" t="n">
        <f aca="false">P7-P11</f>
        <v>4.5</v>
      </c>
      <c r="Q12" s="20" t="n">
        <f aca="false">Q7-Q11</f>
        <v>8</v>
      </c>
      <c r="R12" s="20" t="n">
        <f aca="false">R7-R11</f>
        <v>9.6</v>
      </c>
      <c r="S12" s="20" t="n">
        <f aca="false">S7-S11</f>
        <v>11.2</v>
      </c>
      <c r="T12" s="20" t="n">
        <f aca="false">T7-T11</f>
        <v>10.4</v>
      </c>
      <c r="U12" s="20" t="n">
        <f aca="false">U7-U11</f>
        <v>6.4</v>
      </c>
      <c r="V12" s="20" t="n">
        <f aca="false">V7-V11</f>
        <v>4</v>
      </c>
      <c r="W12" s="20" t="n">
        <f aca="false">W7-W11</f>
        <v>2.4</v>
      </c>
      <c r="X12" s="20" t="n">
        <f aca="false">X7-X11</f>
        <v>1.6</v>
      </c>
      <c r="Y12" s="20" t="n">
        <f aca="false">Y7-Y11</f>
        <v>4</v>
      </c>
      <c r="Z12" s="20" t="n">
        <f aca="false">Z7-Z11</f>
        <v>6.4</v>
      </c>
      <c r="AA12" s="20" t="n">
        <f aca="false">AA7-AA11</f>
        <v>8</v>
      </c>
      <c r="AB12" s="20" t="n">
        <f aca="false">AB7-AB11</f>
        <v>8</v>
      </c>
      <c r="AC12" s="20" t="n">
        <f aca="false">AC7-AC11</f>
        <v>13</v>
      </c>
      <c r="AD12" s="20" t="n">
        <f aca="false">AD7-AD11</f>
        <v>15.6</v>
      </c>
      <c r="AE12" s="20" t="n">
        <f aca="false">AE7-AE11</f>
        <v>18.2</v>
      </c>
      <c r="AF12" s="20" t="n">
        <f aca="false">AF7-AF11</f>
        <v>16.9</v>
      </c>
      <c r="AG12" s="20" t="n">
        <f aca="false">AG7-AG11</f>
        <v>10.4</v>
      </c>
      <c r="AH12" s="20" t="n">
        <f aca="false">AH7-AH11</f>
        <v>6.5</v>
      </c>
      <c r="AI12" s="20" t="n">
        <f aca="false">AI7-AI11</f>
        <v>3.9</v>
      </c>
      <c r="AJ12" s="20" t="n">
        <f aca="false">AJ7-AJ11</f>
        <v>2.6</v>
      </c>
      <c r="AK12" s="20" t="n">
        <f aca="false">AK7-AK11</f>
        <v>6.5</v>
      </c>
      <c r="AL12" s="20" t="n">
        <f aca="false">AL7-AL11</f>
        <v>10.4</v>
      </c>
      <c r="AM12" s="20" t="n">
        <f aca="false">AM7-AM11</f>
        <v>13</v>
      </c>
      <c r="AN12" s="20" t="n">
        <f aca="false">AN7-AN11</f>
        <v>13</v>
      </c>
    </row>
    <row r="13" customFormat="false" ht="15" hidden="false" customHeight="false" outlineLevel="0" collapsed="false">
      <c r="A13" s="5" t="s">
        <v>147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customFormat="false" ht="15" hidden="false" customHeight="false" outlineLevel="0" collapsed="false">
      <c r="A14" s="12" t="s">
        <v>148</v>
      </c>
      <c r="C14" s="22" t="n">
        <f aca="false">C9*Hypothèses!$B$13</f>
        <v>0</v>
      </c>
      <c r="D14" s="22" t="n">
        <f aca="false">D9*Hypothèses!$B$13</f>
        <v>0</v>
      </c>
      <c r="E14" s="22" t="n">
        <f aca="false">E9*Hypothèses!$B$13</f>
        <v>0</v>
      </c>
      <c r="F14" s="22" t="n">
        <f aca="false">F9*Hypothèses!$B$13</f>
        <v>0</v>
      </c>
      <c r="G14" s="22" t="n">
        <f aca="false">G9*Hypothèses!$B$13</f>
        <v>208.25</v>
      </c>
      <c r="H14" s="22" t="n">
        <f aca="false">H9*Hypothèses!$B$13</f>
        <v>530.29375</v>
      </c>
      <c r="I14" s="22" t="n">
        <f aca="false">I9*Hypothèses!$B$13</f>
        <v>844.28640625</v>
      </c>
      <c r="J14" s="22" t="n">
        <f aca="false">J9*Hypothèses!$B$13</f>
        <v>1031.42924609375</v>
      </c>
      <c r="K14" s="22" t="n">
        <f aca="false">K9*Hypothèses!$B$13</f>
        <v>1124.64351494141</v>
      </c>
      <c r="L14" s="22" t="n">
        <f aca="false">L9*Hypothèses!$B$13</f>
        <v>1156.02742706787</v>
      </c>
      <c r="M14" s="22" t="n">
        <f aca="false">M9*Hypothèses!$B$13</f>
        <v>1394.87674139117</v>
      </c>
      <c r="N14" s="22" t="n">
        <f aca="false">N9*Hypothèses!$B$13</f>
        <v>1746.75482285639</v>
      </c>
      <c r="O14" s="22" t="n">
        <f aca="false">O9*Hypothèses!$B$13</f>
        <v>2238.58595228499</v>
      </c>
      <c r="P14" s="22" t="n">
        <f aca="false">P9*Hypothèses!$B$13</f>
        <v>2718.12130347786</v>
      </c>
      <c r="Q14" s="22" t="n">
        <f aca="false">Q9*Hypothèses!$B$13</f>
        <v>3602.16827089091</v>
      </c>
      <c r="R14" s="22" t="n">
        <f aca="false">R9*Hypothèses!$B$13</f>
        <v>4654.51406411864</v>
      </c>
      <c r="S14" s="22" t="n">
        <f aca="false">S9*Hypothèses!$B$13</f>
        <v>5870.95121251568</v>
      </c>
      <c r="T14" s="22" t="n">
        <f aca="false">T9*Hypothèses!$B$13</f>
        <v>6961.77743220278</v>
      </c>
      <c r="U14" s="22" t="n">
        <f aca="false">U9*Hypothèses!$B$13</f>
        <v>7549.33299639771</v>
      </c>
      <c r="V14" s="22" t="n">
        <f aca="false">V9*Hypothèses!$B$13</f>
        <v>7836.59967148777</v>
      </c>
      <c r="W14" s="22" t="n">
        <f aca="false">W9*Hypothèses!$B$13</f>
        <v>7926.28467970058</v>
      </c>
      <c r="X14" s="22" t="n">
        <f aca="false">X9*Hypothèses!$B$13</f>
        <v>7918.52756270806</v>
      </c>
      <c r="Y14" s="22" t="n">
        <f aca="false">Y9*Hypothèses!$B$13</f>
        <v>8196.56437364036</v>
      </c>
      <c r="Z14" s="22" t="n">
        <f aca="false">Z9*Hypothèses!$B$13</f>
        <v>8753.25026429935</v>
      </c>
      <c r="AA14" s="22" t="n">
        <f aca="false">AA9*Hypothèses!$B$13</f>
        <v>9486.41900769187</v>
      </c>
      <c r="AB14" s="22" t="n">
        <f aca="false">AB9*Hypothèses!$B$13</f>
        <v>10201.2585324996</v>
      </c>
      <c r="AC14" s="22" t="n">
        <f aca="false">AC9*Hypothèses!$B$13</f>
        <v>11493.2270691871</v>
      </c>
      <c r="AD14" s="22" t="n">
        <f aca="false">AD9*Hypothèses!$B$13</f>
        <v>13062.2963924574</v>
      </c>
      <c r="AE14" s="22" t="n">
        <f aca="false">AE9*Hypothèses!$B$13</f>
        <v>14901.538982646</v>
      </c>
      <c r="AF14" s="22" t="n">
        <f aca="false">AF9*Hypothèses!$B$13</f>
        <v>16540.1005080798</v>
      </c>
      <c r="AG14" s="22" t="n">
        <f aca="false">AG9*Hypothèses!$B$13</f>
        <v>17364.1979953778</v>
      </c>
      <c r="AH14" s="22" t="n">
        <f aca="false">AH9*Hypothèses!$B$13</f>
        <v>17703.5930454934</v>
      </c>
      <c r="AI14" s="22" t="n">
        <f aca="false">AI9*Hypothèses!$B$13</f>
        <v>17725.103219356</v>
      </c>
      <c r="AJ14" s="22" t="n">
        <f aca="false">AJ9*Hypothèses!$B$13</f>
        <v>17591.3756388721</v>
      </c>
      <c r="AK14" s="22" t="n">
        <f aca="false">AK9*Hypothèses!$B$13</f>
        <v>17925.0912479003</v>
      </c>
      <c r="AL14" s="22" t="n">
        <f aca="false">AL9*Hypothèses!$B$13</f>
        <v>18714.5639667028</v>
      </c>
      <c r="AM14" s="22" t="n">
        <f aca="false">AM9*Hypothèses!$B$13</f>
        <v>19793.6998675353</v>
      </c>
      <c r="AN14" s="22" t="n">
        <f aca="false">AN9*Hypothèses!$B$13</f>
        <v>20845.8573708469</v>
      </c>
    </row>
    <row r="15" customFormat="false" ht="15" hidden="false" customHeight="false" outlineLevel="0" collapsed="false">
      <c r="A15" s="3" t="s">
        <v>149</v>
      </c>
      <c r="C15" s="23" t="n">
        <f aca="false">-Hypothèses!$B$13*(C11)</f>
        <v>-0</v>
      </c>
      <c r="D15" s="23" t="n">
        <f aca="false">-Hypothèses!$B$13*(C11+D11)</f>
        <v>-0</v>
      </c>
      <c r="E15" s="23" t="n">
        <f aca="false">-Hypothèses!$B$13*(C11+D11+E11)</f>
        <v>-0</v>
      </c>
      <c r="F15" s="23" t="n">
        <f aca="false">-Hypothèses!$B$13*(D11+E11+F11)</f>
        <v>-0</v>
      </c>
      <c r="G15" s="23" t="n">
        <f aca="false">-Hypothèses!$B$13*(E11+F11+G11)</f>
        <v>-208.25</v>
      </c>
      <c r="H15" s="23" t="n">
        <f aca="false">-Hypothèses!$B$13*(F11+G11+H11)</f>
        <v>-535.5</v>
      </c>
      <c r="I15" s="23" t="n">
        <f aca="false">-Hypothèses!$B$13*(G11+H11+I11)</f>
        <v>-862.75</v>
      </c>
      <c r="J15" s="23" t="n">
        <f aca="false">-Hypothèses!$B$13*(H11+I11+J11)</f>
        <v>-862.75</v>
      </c>
      <c r="K15" s="23" t="n">
        <f aca="false">-Hypothèses!$B$13*(I11+J11+K11)</f>
        <v>-654.5</v>
      </c>
      <c r="L15" s="23" t="n">
        <f aca="false">-Hypothèses!$B$13*(J11+K11+L11)</f>
        <v>-327.25</v>
      </c>
      <c r="M15" s="23" t="n">
        <f aca="false">-Hypothèses!$B$13*(K11+L11+M11)</f>
        <v>-119</v>
      </c>
      <c r="N15" s="23" t="n">
        <f aca="false">-Hypothèses!$B$13*(L11+M11+N11)</f>
        <v>-0</v>
      </c>
      <c r="O15" s="23" t="n">
        <f aca="false">-Hypothèses!$B$13*(M11+N11+O11)</f>
        <v>-0</v>
      </c>
      <c r="P15" s="23" t="n">
        <f aca="false">-Hypothèses!$B$13*(N11+O11+P11)</f>
        <v>-0</v>
      </c>
      <c r="Q15" s="23" t="n">
        <f aca="false">-Hypothèses!$B$13*(O11+P11+Q11)</f>
        <v>-0</v>
      </c>
      <c r="R15" s="23" t="n">
        <f aca="false">-Hypothèses!$B$13*(P11+Q11+R11)</f>
        <v>-0</v>
      </c>
      <c r="S15" s="23" t="n">
        <f aca="false">-Hypothèses!$B$13*(Q11+R11+S11)</f>
        <v>-0</v>
      </c>
      <c r="T15" s="23" t="n">
        <f aca="false">-Hypothèses!$B$13*(R11+S11+T11)</f>
        <v>-0</v>
      </c>
      <c r="U15" s="23" t="n">
        <f aca="false">-Hypothèses!$B$13*(S11+T11+U11)</f>
        <v>-0</v>
      </c>
      <c r="V15" s="23" t="n">
        <f aca="false">-Hypothèses!$B$13*(T11+U11+V11)</f>
        <v>-0</v>
      </c>
      <c r="W15" s="23" t="n">
        <f aca="false">-Hypothèses!$B$13*(U11+V11+W11)</f>
        <v>-0</v>
      </c>
      <c r="X15" s="23" t="n">
        <f aca="false">-Hypothèses!$B$13*(V11+W11+X11)</f>
        <v>-0</v>
      </c>
      <c r="Y15" s="23" t="n">
        <f aca="false">-Hypothèses!$B$13*(W11+X11+Y11)</f>
        <v>-0</v>
      </c>
      <c r="Z15" s="23" t="n">
        <f aca="false">-Hypothèses!$B$13*(X11+Y11+Z11)</f>
        <v>-0</v>
      </c>
      <c r="AA15" s="23" t="n">
        <f aca="false">-Hypothèses!$B$13*(Y11+Z11+AA11)</f>
        <v>-0</v>
      </c>
      <c r="AB15" s="23" t="n">
        <f aca="false">-Hypothèses!$B$13*(Z11+AA11+AB11)</f>
        <v>-0</v>
      </c>
      <c r="AC15" s="23" t="n">
        <f aca="false">-Hypothèses!$B$13*(AA11+AB11+AC11)</f>
        <v>-0</v>
      </c>
      <c r="AD15" s="23" t="n">
        <f aca="false">-Hypothèses!$B$13*(AB11+AC11+AD11)</f>
        <v>-0</v>
      </c>
      <c r="AE15" s="23" t="n">
        <f aca="false">-Hypothèses!$B$13*(AC11+AD11+AE11)</f>
        <v>-0</v>
      </c>
      <c r="AF15" s="23" t="n">
        <f aca="false">-Hypothèses!$B$13*(AD11+AE11+AF11)</f>
        <v>-0</v>
      </c>
      <c r="AG15" s="23" t="n">
        <f aca="false">-Hypothèses!$B$13*(AE11+AF11+AG11)</f>
        <v>-0</v>
      </c>
      <c r="AH15" s="23" t="n">
        <f aca="false">-Hypothèses!$B$13*(AF11+AG11+AH11)</f>
        <v>-0</v>
      </c>
      <c r="AI15" s="23" t="n">
        <f aca="false">-Hypothèses!$B$13*(AG11+AH11+AI11)</f>
        <v>-0</v>
      </c>
      <c r="AJ15" s="23" t="n">
        <f aca="false">-Hypothèses!$B$13*(AH11+AI11+AJ11)</f>
        <v>-0</v>
      </c>
      <c r="AK15" s="23" t="n">
        <f aca="false">-Hypothèses!$B$13*(AI11+AJ11+AK11)</f>
        <v>-0</v>
      </c>
      <c r="AL15" s="23" t="n">
        <f aca="false">-Hypothèses!$B$13*(AJ11+AK11+AL11)</f>
        <v>-0</v>
      </c>
      <c r="AM15" s="23" t="n">
        <f aca="false">-Hypothèses!$B$13*(AK11+AL11+AM11)</f>
        <v>-0</v>
      </c>
      <c r="AN15" s="23" t="n">
        <f aca="false">-Hypothèses!$B$13*(AL11+AM11+AN11)</f>
        <v>-0</v>
      </c>
    </row>
    <row r="16" customFormat="false" ht="15" hidden="false" customHeight="false" outlineLevel="0" collapsed="false">
      <c r="A16" s="3" t="s">
        <v>150</v>
      </c>
      <c r="C16" s="23" t="n">
        <f aca="false">C14+C15</f>
        <v>0</v>
      </c>
      <c r="D16" s="23" t="n">
        <f aca="false">D14+D15</f>
        <v>0</v>
      </c>
      <c r="E16" s="23" t="n">
        <f aca="false">E14+E15</f>
        <v>0</v>
      </c>
      <c r="F16" s="23" t="n">
        <f aca="false">F14+F15</f>
        <v>0</v>
      </c>
      <c r="G16" s="23" t="n">
        <f aca="false">G14+G15</f>
        <v>0</v>
      </c>
      <c r="H16" s="23" t="n">
        <f aca="false">H14+H15</f>
        <v>-5.20624999999995</v>
      </c>
      <c r="I16" s="23" t="n">
        <f aca="false">I14+I15</f>
        <v>-18.4635937499999</v>
      </c>
      <c r="J16" s="23" t="n">
        <f aca="false">J14+J15</f>
        <v>168.67924609375</v>
      </c>
      <c r="K16" s="23" t="n">
        <f aca="false">K14+K15</f>
        <v>470.143514941406</v>
      </c>
      <c r="L16" s="23" t="n">
        <f aca="false">L14+L15</f>
        <v>828.777427067871</v>
      </c>
      <c r="M16" s="23" t="n">
        <f aca="false">M14+M15</f>
        <v>1275.87674139117</v>
      </c>
      <c r="N16" s="23" t="n">
        <f aca="false">N14+N15</f>
        <v>1746.75482285639</v>
      </c>
      <c r="O16" s="23" t="n">
        <f aca="false">O14+O15</f>
        <v>2238.58595228499</v>
      </c>
      <c r="P16" s="23" t="n">
        <f aca="false">P14+P15</f>
        <v>2718.12130347786</v>
      </c>
      <c r="Q16" s="23" t="n">
        <f aca="false">Q14+Q15</f>
        <v>3602.16827089091</v>
      </c>
      <c r="R16" s="23" t="n">
        <f aca="false">R14+R15</f>
        <v>4654.51406411864</v>
      </c>
      <c r="S16" s="23" t="n">
        <f aca="false">S14+S15</f>
        <v>5870.95121251568</v>
      </c>
      <c r="T16" s="23" t="n">
        <f aca="false">T14+T15</f>
        <v>6961.77743220278</v>
      </c>
      <c r="U16" s="23" t="n">
        <f aca="false">U14+U15</f>
        <v>7549.33299639771</v>
      </c>
      <c r="V16" s="23" t="n">
        <f aca="false">V14+V15</f>
        <v>7836.59967148777</v>
      </c>
      <c r="W16" s="23" t="n">
        <f aca="false">W14+W15</f>
        <v>7926.28467970058</v>
      </c>
      <c r="X16" s="23" t="n">
        <f aca="false">X14+X15</f>
        <v>7918.52756270806</v>
      </c>
      <c r="Y16" s="23" t="n">
        <f aca="false">Y14+Y15</f>
        <v>8196.56437364036</v>
      </c>
      <c r="Z16" s="23" t="n">
        <f aca="false">Z14+Z15</f>
        <v>8753.25026429935</v>
      </c>
      <c r="AA16" s="23" t="n">
        <f aca="false">AA14+AA15</f>
        <v>9486.41900769187</v>
      </c>
      <c r="AB16" s="23" t="n">
        <f aca="false">AB14+AB15</f>
        <v>10201.2585324996</v>
      </c>
      <c r="AC16" s="23" t="n">
        <f aca="false">AC14+AC15</f>
        <v>11493.2270691871</v>
      </c>
      <c r="AD16" s="23" t="n">
        <f aca="false">AD14+AD15</f>
        <v>13062.2963924574</v>
      </c>
      <c r="AE16" s="23" t="n">
        <f aca="false">AE14+AE15</f>
        <v>14901.538982646</v>
      </c>
      <c r="AF16" s="23" t="n">
        <f aca="false">AF14+AF15</f>
        <v>16540.1005080798</v>
      </c>
      <c r="AG16" s="23" t="n">
        <f aca="false">AG14+AG15</f>
        <v>17364.1979953778</v>
      </c>
      <c r="AH16" s="23" t="n">
        <f aca="false">AH14+AH15</f>
        <v>17703.5930454934</v>
      </c>
      <c r="AI16" s="23" t="n">
        <f aca="false">AI14+AI15</f>
        <v>17725.103219356</v>
      </c>
      <c r="AJ16" s="23" t="n">
        <f aca="false">AJ14+AJ15</f>
        <v>17591.3756388721</v>
      </c>
      <c r="AK16" s="23" t="n">
        <f aca="false">AK14+AK15</f>
        <v>17925.0912479003</v>
      </c>
      <c r="AL16" s="23" t="n">
        <f aca="false">AL14+AL15</f>
        <v>18714.5639667028</v>
      </c>
      <c r="AM16" s="23" t="n">
        <f aca="false">AM14+AM15</f>
        <v>19793.6998675353</v>
      </c>
      <c r="AN16" s="23" t="n">
        <f aca="false">AN14+AN15</f>
        <v>20845.8573708469</v>
      </c>
    </row>
    <row r="17" customFormat="false" ht="15" hidden="false" customHeight="false" outlineLevel="0" collapsed="false">
      <c r="A17" s="3" t="s">
        <v>151</v>
      </c>
      <c r="C17" s="23" t="n">
        <f aca="false">C12*Hypothèses!$B$14</f>
        <v>0</v>
      </c>
      <c r="D17" s="23" t="n">
        <f aca="false">D12*Hypothèses!$B$14</f>
        <v>0</v>
      </c>
      <c r="E17" s="23" t="n">
        <f aca="false">E12*Hypothèses!$B$14</f>
        <v>0</v>
      </c>
      <c r="F17" s="23" t="n">
        <f aca="false">F12*Hypothèses!$B$14</f>
        <v>0</v>
      </c>
      <c r="G17" s="23" t="n">
        <f aca="false">G12*Hypothèses!$B$14</f>
        <v>0</v>
      </c>
      <c r="H17" s="23" t="n">
        <f aca="false">H12*Hypothèses!$B$14</f>
        <v>0</v>
      </c>
      <c r="I17" s="23" t="n">
        <f aca="false">I12*Hypothèses!$B$14</f>
        <v>0</v>
      </c>
      <c r="J17" s="23" t="n">
        <f aca="false">J12*Hypothèses!$B$14</f>
        <v>0</v>
      </c>
      <c r="K17" s="23" t="n">
        <f aca="false">K12*Hypothèses!$B$14</f>
        <v>0</v>
      </c>
      <c r="L17" s="23" t="n">
        <f aca="false">L12*Hypothèses!$B$14</f>
        <v>195</v>
      </c>
      <c r="M17" s="23" t="n">
        <f aca="false">M12*Hypothèses!$B$14</f>
        <v>877.5</v>
      </c>
      <c r="N17" s="23" t="n">
        <f aca="false">N12*Hypothèses!$B$14</f>
        <v>1267.5</v>
      </c>
      <c r="O17" s="23" t="n">
        <f aca="false">O12*Hypothèses!$B$14</f>
        <v>1755</v>
      </c>
      <c r="P17" s="23" t="n">
        <f aca="false">P12*Hypothèses!$B$14</f>
        <v>1755</v>
      </c>
      <c r="Q17" s="23" t="n">
        <f aca="false">Q12*Hypothèses!$B$14</f>
        <v>3120</v>
      </c>
      <c r="R17" s="23" t="n">
        <f aca="false">R12*Hypothèses!$B$14</f>
        <v>3744</v>
      </c>
      <c r="S17" s="23" t="n">
        <f aca="false">S12*Hypothèses!$B$14</f>
        <v>4368</v>
      </c>
      <c r="T17" s="23" t="n">
        <f aca="false">T12*Hypothèses!$B$14</f>
        <v>4056</v>
      </c>
      <c r="U17" s="23" t="n">
        <f aca="false">U12*Hypothèses!$B$14</f>
        <v>2496</v>
      </c>
      <c r="V17" s="23" t="n">
        <f aca="false">V12*Hypothèses!$B$14</f>
        <v>1560</v>
      </c>
      <c r="W17" s="23" t="n">
        <f aca="false">W12*Hypothèses!$B$14</f>
        <v>936</v>
      </c>
      <c r="X17" s="23" t="n">
        <f aca="false">X12*Hypothèses!$B$14</f>
        <v>624</v>
      </c>
      <c r="Y17" s="23" t="n">
        <f aca="false">Y12*Hypothèses!$B$14</f>
        <v>1560</v>
      </c>
      <c r="Z17" s="23" t="n">
        <f aca="false">Z12*Hypothèses!$B$14</f>
        <v>2496</v>
      </c>
      <c r="AA17" s="23" t="n">
        <f aca="false">AA12*Hypothèses!$B$14</f>
        <v>3120</v>
      </c>
      <c r="AB17" s="23" t="n">
        <f aca="false">AB12*Hypothèses!$B$14</f>
        <v>3120</v>
      </c>
      <c r="AC17" s="23" t="n">
        <f aca="false">AC12*Hypothèses!$B$14</f>
        <v>5070</v>
      </c>
      <c r="AD17" s="23" t="n">
        <f aca="false">AD12*Hypothèses!$B$14</f>
        <v>6084</v>
      </c>
      <c r="AE17" s="23" t="n">
        <f aca="false">AE12*Hypothèses!$B$14</f>
        <v>7098</v>
      </c>
      <c r="AF17" s="23" t="n">
        <f aca="false">AF12*Hypothèses!$B$14</f>
        <v>6591</v>
      </c>
      <c r="AG17" s="23" t="n">
        <f aca="false">AG12*Hypothèses!$B$14</f>
        <v>4056</v>
      </c>
      <c r="AH17" s="23" t="n">
        <f aca="false">AH12*Hypothèses!$B$14</f>
        <v>2535</v>
      </c>
      <c r="AI17" s="23" t="n">
        <f aca="false">AI12*Hypothèses!$B$14</f>
        <v>1521</v>
      </c>
      <c r="AJ17" s="23" t="n">
        <f aca="false">AJ12*Hypothèses!$B$14</f>
        <v>1014</v>
      </c>
      <c r="AK17" s="23" t="n">
        <f aca="false">AK12*Hypothèses!$B$14</f>
        <v>2535</v>
      </c>
      <c r="AL17" s="23" t="n">
        <f aca="false">AL12*Hypothèses!$B$14</f>
        <v>4056</v>
      </c>
      <c r="AM17" s="23" t="n">
        <f aca="false">AM12*Hypothèses!$B$14</f>
        <v>5070</v>
      </c>
      <c r="AN17" s="23" t="n">
        <f aca="false">AN12*Hypothèses!$B$14</f>
        <v>5070</v>
      </c>
    </row>
    <row r="18" customFormat="false" ht="15" hidden="false" customHeight="false" outlineLevel="0" collapsed="false">
      <c r="A18" s="3" t="s">
        <v>152</v>
      </c>
      <c r="C18" s="23" t="s">
        <v>153</v>
      </c>
      <c r="D18" s="23" t="s">
        <v>153</v>
      </c>
      <c r="E18" s="23" t="n">
        <f aca="false">E9*Hypothèses!$B$21*Hypothèses!$C$22/12*Hypothèses!$B$20*Hypothèses!$B$19</f>
        <v>0</v>
      </c>
      <c r="F18" s="23" t="n">
        <f aca="false">F9*Hypothèses!$B$21*Hypothèses!$C$22/12*Hypothèses!$B$20*Hypothèses!$B$19</f>
        <v>0</v>
      </c>
      <c r="G18" s="23" t="n">
        <f aca="false">G9*Hypothèses!$B$21*Hypothèses!$C$22/12*Hypothèses!$B$20*Hypothèses!$B$19</f>
        <v>3.5</v>
      </c>
      <c r="H18" s="23" t="n">
        <f aca="false">H9*Hypothèses!$B$21*Hypothèses!$C$22/12*Hypothèses!$B$20*Hypothèses!$B$19</f>
        <v>8.9125</v>
      </c>
      <c r="I18" s="23" t="n">
        <f aca="false">I9*Hypothèses!$B$21*Hypothèses!$C$22/12*Hypothèses!$B$20*Hypothèses!$B$19</f>
        <v>14.1896875</v>
      </c>
      <c r="J18" s="23" t="n">
        <f aca="false">J9*Hypothèses!$B$21*Hypothèses!$C$22/12*Hypothèses!$B$20*Hypothèses!$B$19</f>
        <v>17.3349453125</v>
      </c>
      <c r="K18" s="23" t="n">
        <f aca="false">K9*Hypothèses!$B$21*Hypothèses!$C$22/12*Hypothèses!$B$20*Hypothèses!$B$19</f>
        <v>18.9015716796875</v>
      </c>
      <c r="L18" s="23" t="n">
        <f aca="false">L9*Hypothèses!$B$21*Hypothèses!$C$22/12*Hypothèses!$B$20*Hypothèses!$B$19</f>
        <v>19.4290323876953</v>
      </c>
      <c r="M18" s="23" t="n">
        <f aca="false">M9*Hypothèses!$B$21*Hypothèses!$C$22/12*Hypothèses!$B$20*Hypothèses!$B$19</f>
        <v>23.4433065780029</v>
      </c>
      <c r="N18" s="23" t="n">
        <f aca="false">N9*Hypothèses!$B$21*Hypothèses!$C$22/12*Hypothèses!$B$20*Hypothèses!$B$19</f>
        <v>29.3572239135529</v>
      </c>
      <c r="O18" s="23" t="n">
        <f aca="false">O9*Hypothèses!$B$21*Hypothèses!$C$22/12*Hypothèses!$B$20*Hypothèses!$B$19</f>
        <v>37.623293315714</v>
      </c>
      <c r="P18" s="23" t="n">
        <f aca="false">P9*Hypothèses!$B$21*Hypothèses!$C$22/12*Hypothèses!$B$20*Hypothèses!$B$19</f>
        <v>45.6827109828212</v>
      </c>
      <c r="Q18" s="23" t="n">
        <f aca="false">Q9*Hypothèses!$B$21*Hypothèses!$D$22/12*Hypothèses!$B$20*Hypothèses!$B$19</f>
        <v>105.946125614439</v>
      </c>
      <c r="R18" s="23" t="n">
        <f aca="false">R9*Hypothèses!$B$21*Hypothèses!$D$22/12*Hypothèses!$B$20*Hypothèses!$B$19</f>
        <v>136.897472474078</v>
      </c>
      <c r="S18" s="23" t="n">
        <f aca="false">S9*Hypothèses!$B$21*Hypothèses!$D$22/12*Hypothèses!$B$20*Hypothèses!$B$19</f>
        <v>172.675035662226</v>
      </c>
      <c r="T18" s="23" t="n">
        <f aca="false">T9*Hypothèses!$B$21*Hypothèses!$D$22/12*Hypothèses!$B$20*Hypothèses!$B$19</f>
        <v>204.75815977067</v>
      </c>
      <c r="U18" s="23" t="n">
        <f aca="false">U9*Hypothèses!$B$21*Hypothèses!$D$22/12*Hypothèses!$B$20*Hypothèses!$B$19</f>
        <v>222.039205776403</v>
      </c>
      <c r="V18" s="23" t="n">
        <f aca="false">V9*Hypothèses!$B$21*Hypothèses!$D$22/12*Hypothèses!$B$20*Hypothèses!$B$19</f>
        <v>230.488225631993</v>
      </c>
      <c r="W18" s="23" t="n">
        <f aca="false">W9*Hypothèses!$B$21*Hypothèses!$D$22/12*Hypothèses!$B$20*Hypothèses!$B$19</f>
        <v>233.126019991194</v>
      </c>
      <c r="X18" s="23" t="n">
        <f aca="false">X9*Hypothèses!$B$21*Hypothèses!$D$22/12*Hypothèses!$B$20*Hypothèses!$B$19</f>
        <v>232.897869491414</v>
      </c>
      <c r="Y18" s="23" t="n">
        <f aca="false">Y9*Hypothèses!$B$21*Hypothèses!$D$22/12*Hypothèses!$B$20*Hypothèses!$B$19</f>
        <v>241.075422754128</v>
      </c>
      <c r="Z18" s="23" t="n">
        <f aca="false">Z9*Hypothèses!$B$21*Hypothèses!$D$22/12*Hypothèses!$B$20*Hypothèses!$B$19</f>
        <v>257.448537185275</v>
      </c>
      <c r="AA18" s="23" t="n">
        <f aca="false">AA9*Hypothèses!$B$21*Hypothèses!$D$22/12*Hypothèses!$B$20*Hypothèses!$B$19</f>
        <v>279.012323755643</v>
      </c>
      <c r="AB18" s="23" t="n">
        <f aca="false">AB9*Hypothèses!$B$21*Hypothèses!$D$22/12*Hypothèses!$B$20*Hypothèses!$B$19</f>
        <v>300.037015661752</v>
      </c>
      <c r="AC18" s="23" t="n">
        <f aca="false">AC9*Hypothèses!$B$21*Hypothèses!$E$22/12*Hypothèses!$B$20*Hypothèses!$B$19</f>
        <v>434.617830347411</v>
      </c>
      <c r="AD18" s="23" t="n">
        <f aca="false">AD9*Hypothèses!$B$21*Hypothèses!$E$22/12*Hypothèses!$B$20*Hypothèses!$B$19</f>
        <v>493.952384588725</v>
      </c>
      <c r="AE18" s="23" t="n">
        <f aca="false">AE9*Hypothèses!$B$21*Hypothèses!$E$22/12*Hypothèses!$B$20*Hypothèses!$B$19</f>
        <v>563.503574974007</v>
      </c>
      <c r="AF18" s="23" t="n">
        <f aca="false">AF9*Hypothèses!$B$21*Hypothèses!$E$22/12*Hypothèses!$B$20*Hypothèses!$B$19</f>
        <v>625.465985599657</v>
      </c>
      <c r="AG18" s="23" t="n">
        <f aca="false">AG9*Hypothèses!$B$21*Hypothèses!$E$22/12*Hypothèses!$B$20*Hypothèses!$B$19</f>
        <v>656.629335959666</v>
      </c>
      <c r="AH18" s="23" t="n">
        <f aca="false">AH9*Hypothèses!$B$21*Hypothèses!$E$22/12*Hypothèses!$B$20*Hypothèses!$B$19</f>
        <v>669.463602560674</v>
      </c>
      <c r="AI18" s="23" t="n">
        <f aca="false">AI9*Hypothèses!$B$21*Hypothèses!$E$22/12*Hypothèses!$B$20*Hypothèses!$B$19</f>
        <v>670.277012496657</v>
      </c>
      <c r="AJ18" s="23" t="n">
        <f aca="false">AJ9*Hypothèses!$B$21*Hypothèses!$E$22/12*Hypothèses!$B$20*Hypothèses!$B$19</f>
        <v>665.220087184241</v>
      </c>
      <c r="AK18" s="23" t="n">
        <f aca="false">AK9*Hypothèses!$B$21*Hypothèses!$E$22/12*Hypothèses!$B$20*Hypothèses!$B$19</f>
        <v>677.839585004635</v>
      </c>
      <c r="AL18" s="23" t="n">
        <f aca="false">AL9*Hypothèses!$B$21*Hypothèses!$E$22/12*Hypothèses!$B$20*Hypothèses!$B$19</f>
        <v>707.693595379519</v>
      </c>
      <c r="AM18" s="23" t="n">
        <f aca="false">AM9*Hypothèses!$B$21*Hypothèses!$E$22/12*Hypothèses!$B$20*Hypothèses!$B$19</f>
        <v>748.501255495031</v>
      </c>
      <c r="AN18" s="23" t="n">
        <f aca="false">AN9*Hypothèses!$B$21*Hypothèses!$E$22/12*Hypothèses!$B$20*Hypothèses!$B$19</f>
        <v>788.288724107655</v>
      </c>
    </row>
    <row r="19" customFormat="false" ht="15" hidden="false" customHeight="false" outlineLevel="0" collapsed="false">
      <c r="A19" s="3" t="s">
        <v>154</v>
      </c>
      <c r="C19" s="23" t="n">
        <f aca="false">C7*Hypothèses!$B$23*Hypothèses!$B$24</f>
        <v>0</v>
      </c>
      <c r="D19" s="23" t="n">
        <f aca="false">D7*Hypothèses!$B$23*Hypothèses!$B$24</f>
        <v>0</v>
      </c>
      <c r="E19" s="23" t="n">
        <f aca="false">E7*Hypothèses!$B$23*Hypothèses!$B$24</f>
        <v>0</v>
      </c>
      <c r="F19" s="23" t="n">
        <f aca="false">F7*Hypothèses!$B$23*Hypothèses!$B$24</f>
        <v>0</v>
      </c>
      <c r="G19" s="23" t="n">
        <f aca="false">G7*Hypothèses!$B$23*Hypothèses!$B$24</f>
        <v>393.75</v>
      </c>
      <c r="H19" s="23" t="n">
        <f aca="false">H7*Hypothèses!$B$23*Hypothèses!$B$24</f>
        <v>618.75</v>
      </c>
      <c r="I19" s="23" t="n">
        <f aca="false">I7*Hypothèses!$B$23*Hypothèses!$B$24</f>
        <v>618.75</v>
      </c>
      <c r="J19" s="23" t="n">
        <f aca="false">J7*Hypothèses!$B$23*Hypothèses!$B$24</f>
        <v>393.75</v>
      </c>
      <c r="K19" s="23" t="n">
        <f aca="false">K7*Hypothèses!$B$23*Hypothèses!$B$24</f>
        <v>225</v>
      </c>
      <c r="L19" s="23" t="n">
        <f aca="false">L7*Hypothèses!$B$23*Hypothèses!$B$24</f>
        <v>112.5</v>
      </c>
      <c r="M19" s="23" t="n">
        <f aca="false">M7*Hypothèses!$B$23*Hypothèses!$B$24</f>
        <v>506.25</v>
      </c>
      <c r="N19" s="23" t="n">
        <f aca="false">N7*Hypothèses!$B$23*Hypothèses!$B$24</f>
        <v>731.25</v>
      </c>
      <c r="O19" s="23" t="n">
        <f aca="false">O7*Hypothèses!$B$23*Hypothèses!$B$24</f>
        <v>1012.5</v>
      </c>
      <c r="P19" s="23" t="n">
        <f aca="false">P7*Hypothèses!$B$23*Hypothèses!$B$24</f>
        <v>1012.5</v>
      </c>
      <c r="Q19" s="23" t="n">
        <f aca="false">Q7*Hypothèses!$B$23*Hypothèses!$B$24</f>
        <v>1800</v>
      </c>
      <c r="R19" s="23" t="n">
        <f aca="false">R7*Hypothèses!$B$23*Hypothèses!$B$24</f>
        <v>2160</v>
      </c>
      <c r="S19" s="23" t="n">
        <f aca="false">S7*Hypothèses!$B$23*Hypothèses!$B$24</f>
        <v>2520</v>
      </c>
      <c r="T19" s="23" t="n">
        <f aca="false">T7*Hypothèses!$B$23*Hypothèses!$B$24</f>
        <v>2340</v>
      </c>
      <c r="U19" s="23" t="n">
        <f aca="false">U7*Hypothèses!$B$23*Hypothèses!$B$24</f>
        <v>1440</v>
      </c>
      <c r="V19" s="23" t="n">
        <f aca="false">V7*Hypothèses!$B$23*Hypothèses!$B$24</f>
        <v>900</v>
      </c>
      <c r="W19" s="23" t="n">
        <f aca="false">W7*Hypothèses!$B$23*Hypothèses!$B$24</f>
        <v>540</v>
      </c>
      <c r="X19" s="23" t="n">
        <f aca="false">X7*Hypothèses!$B$23*Hypothèses!$B$24</f>
        <v>360</v>
      </c>
      <c r="Y19" s="23" t="n">
        <f aca="false">Y7*Hypothèses!$B$23*Hypothèses!$B$24</f>
        <v>900</v>
      </c>
      <c r="Z19" s="23" t="n">
        <f aca="false">Z7*Hypothèses!$B$23*Hypothèses!$B$24</f>
        <v>1440</v>
      </c>
      <c r="AA19" s="23" t="n">
        <f aca="false">AA7*Hypothèses!$B$23*Hypothèses!$B$24</f>
        <v>1800</v>
      </c>
      <c r="AB19" s="23" t="n">
        <f aca="false">AB7*Hypothèses!$B$23*Hypothèses!$B$24</f>
        <v>1800</v>
      </c>
      <c r="AC19" s="23" t="n">
        <f aca="false">AC7*Hypothèses!$B$23*Hypothèses!$B$24</f>
        <v>2925</v>
      </c>
      <c r="AD19" s="23" t="n">
        <f aca="false">AD7*Hypothèses!$B$23*Hypothèses!$B$24</f>
        <v>3510</v>
      </c>
      <c r="AE19" s="23" t="n">
        <f aca="false">AE7*Hypothèses!$B$23*Hypothèses!$B$24</f>
        <v>4095</v>
      </c>
      <c r="AF19" s="23" t="n">
        <f aca="false">AF7*Hypothèses!$B$23*Hypothèses!$B$24</f>
        <v>3802.5</v>
      </c>
      <c r="AG19" s="23" t="n">
        <f aca="false">AG7*Hypothèses!$B$23*Hypothèses!$B$24</f>
        <v>2340</v>
      </c>
      <c r="AH19" s="23" t="n">
        <f aca="false">AH7*Hypothèses!$B$23*Hypothèses!$B$24</f>
        <v>1462.5</v>
      </c>
      <c r="AI19" s="23" t="n">
        <f aca="false">AI7*Hypothèses!$B$23*Hypothèses!$B$24</f>
        <v>877.5</v>
      </c>
      <c r="AJ19" s="23" t="n">
        <f aca="false">AJ7*Hypothèses!$B$23*Hypothèses!$B$24</f>
        <v>585</v>
      </c>
      <c r="AK19" s="23" t="n">
        <f aca="false">AK7*Hypothèses!$B$23*Hypothèses!$B$24</f>
        <v>1462.5</v>
      </c>
      <c r="AL19" s="23" t="n">
        <f aca="false">AL7*Hypothèses!$B$23*Hypothèses!$B$24</f>
        <v>2340</v>
      </c>
      <c r="AM19" s="23" t="n">
        <f aca="false">AM7*Hypothèses!$B$23*Hypothèses!$B$24</f>
        <v>2925</v>
      </c>
      <c r="AN19" s="23" t="n">
        <f aca="false">AN7*Hypothèses!$B$23*Hypothèses!$B$24</f>
        <v>2925</v>
      </c>
    </row>
    <row r="20" customFormat="false" ht="15" hidden="false" customHeight="false" outlineLevel="0" collapsed="false">
      <c r="A20" s="24" t="s">
        <v>155</v>
      </c>
      <c r="C20" s="25" t="n">
        <f aca="false">SUM(C16:C19)</f>
        <v>0</v>
      </c>
      <c r="D20" s="25" t="n">
        <f aca="false">SUM(D16:D19)</f>
        <v>0</v>
      </c>
      <c r="E20" s="25" t="n">
        <f aca="false">SUM(E16:E19)</f>
        <v>0</v>
      </c>
      <c r="F20" s="25" t="n">
        <f aca="false">SUM(F16:F19)</f>
        <v>0</v>
      </c>
      <c r="G20" s="25" t="n">
        <f aca="false">SUM(G16:G19)</f>
        <v>397.25</v>
      </c>
      <c r="H20" s="25" t="n">
        <f aca="false">SUM(H16:H19)</f>
        <v>622.45625</v>
      </c>
      <c r="I20" s="25" t="n">
        <f aca="false">SUM(I16:I19)</f>
        <v>614.47609375</v>
      </c>
      <c r="J20" s="25" t="n">
        <f aca="false">SUM(J16:J19)</f>
        <v>579.76419140625</v>
      </c>
      <c r="K20" s="25" t="n">
        <f aca="false">SUM(K16:K19)</f>
        <v>714.045086621094</v>
      </c>
      <c r="L20" s="25" t="n">
        <f aca="false">SUM(L16:L19)</f>
        <v>1155.70645945557</v>
      </c>
      <c r="M20" s="25" t="n">
        <f aca="false">SUM(M16:M19)</f>
        <v>2683.07004796918</v>
      </c>
      <c r="N20" s="25" t="n">
        <f aca="false">SUM(N16:N19)</f>
        <v>3774.86204676995</v>
      </c>
      <c r="O20" s="25" t="n">
        <f aca="false">SUM(O16:O19)</f>
        <v>5043.7092456007</v>
      </c>
      <c r="P20" s="25" t="n">
        <f aca="false">SUM(P16:P19)</f>
        <v>5531.30401446068</v>
      </c>
      <c r="Q20" s="25" t="n">
        <f aca="false">SUM(Q16:Q19)</f>
        <v>8628.11439650535</v>
      </c>
      <c r="R20" s="25" t="n">
        <f aca="false">SUM(R16:R19)</f>
        <v>10695.4115365927</v>
      </c>
      <c r="S20" s="25" t="n">
        <f aca="false">SUM(S16:S19)</f>
        <v>12931.6262481779</v>
      </c>
      <c r="T20" s="25" t="n">
        <f aca="false">SUM(T16:T19)</f>
        <v>13562.5355919735</v>
      </c>
      <c r="U20" s="25" t="n">
        <f aca="false">SUM(U16:U19)</f>
        <v>11707.3722021741</v>
      </c>
      <c r="V20" s="25" t="n">
        <f aca="false">SUM(V16:V19)</f>
        <v>10527.0878971198</v>
      </c>
      <c r="W20" s="25" t="n">
        <f aca="false">SUM(W16:W19)</f>
        <v>9635.41069969177</v>
      </c>
      <c r="X20" s="25" t="n">
        <f aca="false">SUM(X16:X19)</f>
        <v>9135.42543219948</v>
      </c>
      <c r="Y20" s="25" t="n">
        <f aca="false">SUM(Y16:Y19)</f>
        <v>10897.6397963945</v>
      </c>
      <c r="Z20" s="25" t="n">
        <f aca="false">SUM(Z16:Z19)</f>
        <v>12946.6988014846</v>
      </c>
      <c r="AA20" s="25" t="n">
        <f aca="false">SUM(AA16:AA19)</f>
        <v>14685.4313314475</v>
      </c>
      <c r="AB20" s="25" t="n">
        <f aca="false">SUM(AB16:AB19)</f>
        <v>15421.2955481613</v>
      </c>
      <c r="AC20" s="25" t="n">
        <f aca="false">SUM(AC16:AC19)</f>
        <v>19922.8448995345</v>
      </c>
      <c r="AD20" s="25" t="n">
        <f aca="false">SUM(AD16:AD19)</f>
        <v>23150.2487770461</v>
      </c>
      <c r="AE20" s="25" t="n">
        <f aca="false">SUM(AE16:AE19)</f>
        <v>26658.04255762</v>
      </c>
      <c r="AF20" s="25" t="n">
        <f aca="false">SUM(AF16:AF19)</f>
        <v>27559.0664936795</v>
      </c>
      <c r="AG20" s="25" t="n">
        <f aca="false">SUM(AG16:AG19)</f>
        <v>24416.8273313375</v>
      </c>
      <c r="AH20" s="25" t="n">
        <f aca="false">SUM(AH16:AH19)</f>
        <v>22370.5566480541</v>
      </c>
      <c r="AI20" s="25" t="n">
        <f aca="false">SUM(AI16:AI19)</f>
        <v>20793.8802318527</v>
      </c>
      <c r="AJ20" s="25" t="n">
        <f aca="false">SUM(AJ16:AJ19)</f>
        <v>19855.5957260564</v>
      </c>
      <c r="AK20" s="25" t="n">
        <f aca="false">SUM(AK16:AK19)</f>
        <v>22600.430832905</v>
      </c>
      <c r="AL20" s="25" t="n">
        <f aca="false">SUM(AL16:AL19)</f>
        <v>25818.2575620823</v>
      </c>
      <c r="AM20" s="25" t="n">
        <f aca="false">SUM(AM16:AM19)</f>
        <v>28537.2011230303</v>
      </c>
      <c r="AN20" s="25" t="n">
        <f aca="false">SUM(AN16:AN19)</f>
        <v>29629.1460949545</v>
      </c>
    </row>
    <row r="21" customFormat="false" ht="15" hidden="false" customHeight="false" outlineLevel="0" collapsed="false">
      <c r="A21" s="5" t="s">
        <v>156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customFormat="false" ht="15" hidden="false" customHeight="false" outlineLevel="0" collapsed="false">
      <c r="A22" s="3" t="s">
        <v>157</v>
      </c>
      <c r="C22" s="23" t="s">
        <v>153</v>
      </c>
      <c r="D22" s="23" t="s">
        <v>153</v>
      </c>
      <c r="E22" s="23" t="n">
        <f aca="false">E9*Hypothèses!$C$53</f>
        <v>0</v>
      </c>
      <c r="F22" s="23" t="n">
        <f aca="false">F9*Hypothèses!$C$53</f>
        <v>0</v>
      </c>
      <c r="G22" s="23" t="n">
        <f aca="false">G9*Hypothèses!$C$53</f>
        <v>8.75</v>
      </c>
      <c r="H22" s="23" t="n">
        <f aca="false">H9*Hypothèses!$C$53</f>
        <v>22.28125</v>
      </c>
      <c r="I22" s="23" t="n">
        <f aca="false">I9*Hypothèses!$C$53</f>
        <v>35.47421875</v>
      </c>
      <c r="J22" s="23" t="n">
        <f aca="false">J9*Hypothèses!$C$53</f>
        <v>43.33736328125</v>
      </c>
      <c r="K22" s="23" t="n">
        <f aca="false">K9*Hypothèses!$C$53</f>
        <v>47.2539291992187</v>
      </c>
      <c r="L22" s="23" t="n">
        <f aca="false">L9*Hypothèses!$C$53</f>
        <v>48.5725809692383</v>
      </c>
      <c r="M22" s="23" t="n">
        <f aca="false">M9*Hypothèses!$C$53</f>
        <v>58.6082664450073</v>
      </c>
      <c r="N22" s="23" t="n">
        <f aca="false">N9*Hypothèses!$C$53</f>
        <v>73.3930597838821</v>
      </c>
      <c r="O22" s="23" t="n">
        <f aca="false">O9*Hypothèses!$C$53</f>
        <v>94.0582332892851</v>
      </c>
      <c r="P22" s="23" t="n">
        <f aca="false">P9*Hypothèses!$C$53</f>
        <v>114.206777457053</v>
      </c>
      <c r="Q22" s="23" t="n">
        <f aca="false">Q9*Hypothèses!$D$53</f>
        <v>151.351608020627</v>
      </c>
      <c r="R22" s="23" t="n">
        <f aca="false">R9*Hypothèses!$D$53</f>
        <v>195.567817820111</v>
      </c>
      <c r="S22" s="23" t="n">
        <f aca="false">S9*Hypothèses!$D$53</f>
        <v>246.678622374608</v>
      </c>
      <c r="T22" s="23" t="n">
        <f aca="false">T9*Hypothèses!$D$53</f>
        <v>292.511656815243</v>
      </c>
      <c r="U22" s="23" t="n">
        <f aca="false">U9*Hypothèses!$D$53</f>
        <v>317.198865394862</v>
      </c>
      <c r="V22" s="23" t="n">
        <f aca="false">V9*Hypothèses!$D$53</f>
        <v>329.26889375999</v>
      </c>
      <c r="W22" s="23" t="n">
        <f aca="false">W9*Hypothèses!$D$53</f>
        <v>333.037171415991</v>
      </c>
      <c r="X22" s="23" t="n">
        <f aca="false">X9*Hypothèses!$D$53</f>
        <v>332.711242130591</v>
      </c>
      <c r="Y22" s="23" t="n">
        <f aca="false">Y9*Hypothèses!$D$53</f>
        <v>344.393461077326</v>
      </c>
      <c r="Z22" s="23" t="n">
        <f aca="false">Z9*Hypothèses!$D$53</f>
        <v>367.783624550393</v>
      </c>
      <c r="AA22" s="23" t="n">
        <f aca="false">AA9*Hypothèses!$D$53</f>
        <v>398.589033936633</v>
      </c>
      <c r="AB22" s="23" t="n">
        <f aca="false">AB9*Hypothèses!$D$53</f>
        <v>428.624308088217</v>
      </c>
      <c r="AC22" s="23" t="n">
        <f aca="false">AC9*Hypothèses!$E$53</f>
        <v>482.908700386012</v>
      </c>
      <c r="AD22" s="23" t="n">
        <f aca="false">AD9*Hypothèses!$E$53</f>
        <v>548.835982876362</v>
      </c>
      <c r="AE22" s="23" t="n">
        <f aca="false">AE9*Hypothèses!$E$53</f>
        <v>626.115083304453</v>
      </c>
      <c r="AF22" s="23" t="n">
        <f aca="false">AF9*Hypothèses!$E$53</f>
        <v>694.962206221841</v>
      </c>
      <c r="AG22" s="23" t="n">
        <f aca="false">AG9*Hypothèses!$E$53</f>
        <v>729.588151066295</v>
      </c>
      <c r="AH22" s="23" t="n">
        <f aca="false">AH9*Hypothèses!$E$53</f>
        <v>743.848447289638</v>
      </c>
      <c r="AI22" s="23" t="n">
        <f aca="false">AI9*Hypothèses!$E$53</f>
        <v>744.752236107397</v>
      </c>
      <c r="AJ22" s="23" t="n">
        <f aca="false">AJ9*Hypothèses!$E$53</f>
        <v>739.133430204712</v>
      </c>
      <c r="AK22" s="23" t="n">
        <f aca="false">AK9*Hypothèses!$E$53</f>
        <v>753.155094449594</v>
      </c>
      <c r="AL22" s="23" t="n">
        <f aca="false">AL9*Hypothèses!$E$53</f>
        <v>786.326217088354</v>
      </c>
      <c r="AM22" s="23" t="n">
        <f aca="false">AM9*Hypothèses!$E$53</f>
        <v>831.668061661145</v>
      </c>
      <c r="AN22" s="23" t="n">
        <f aca="false">AN9*Hypothèses!$E$53</f>
        <v>875.876360119617</v>
      </c>
    </row>
    <row r="23" customFormat="false" ht="15" hidden="false" customHeight="false" outlineLevel="0" collapsed="false">
      <c r="A23" s="3" t="s">
        <v>158</v>
      </c>
      <c r="C23" s="23" t="n">
        <f aca="false">C19*Hypothèses!$B$25</f>
        <v>0</v>
      </c>
      <c r="D23" s="23" t="n">
        <f aca="false">D19*Hypothèses!$B$25</f>
        <v>0</v>
      </c>
      <c r="E23" s="23" t="n">
        <f aca="false">E19*Hypothèses!$B$25</f>
        <v>0</v>
      </c>
      <c r="F23" s="23" t="n">
        <f aca="false">F19*Hypothèses!$B$25</f>
        <v>0</v>
      </c>
      <c r="G23" s="23" t="n">
        <f aca="false">G19*Hypothèses!$B$25</f>
        <v>236.25</v>
      </c>
      <c r="H23" s="23" t="n">
        <f aca="false">H19*Hypothèses!$B$25</f>
        <v>371.25</v>
      </c>
      <c r="I23" s="23" t="n">
        <f aca="false">I19*Hypothèses!$B$25</f>
        <v>371.25</v>
      </c>
      <c r="J23" s="23" t="n">
        <f aca="false">J19*Hypothèses!$B$25</f>
        <v>236.25</v>
      </c>
      <c r="K23" s="23" t="n">
        <f aca="false">K19*Hypothèses!$B$25</f>
        <v>135</v>
      </c>
      <c r="L23" s="23" t="n">
        <f aca="false">L19*Hypothèses!$B$25</f>
        <v>67.5</v>
      </c>
      <c r="M23" s="23" t="n">
        <f aca="false">M19*Hypothèses!$B$25</f>
        <v>303.75</v>
      </c>
      <c r="N23" s="23" t="n">
        <f aca="false">N19*Hypothèses!$B$25</f>
        <v>438.75</v>
      </c>
      <c r="O23" s="23" t="n">
        <f aca="false">O19*Hypothèses!$B$25</f>
        <v>607.5</v>
      </c>
      <c r="P23" s="23" t="n">
        <f aca="false">P19*Hypothèses!$B$25</f>
        <v>607.5</v>
      </c>
      <c r="Q23" s="23" t="n">
        <f aca="false">Q19*Hypothèses!$B$25</f>
        <v>1080</v>
      </c>
      <c r="R23" s="23" t="n">
        <f aca="false">R19*Hypothèses!$B$25</f>
        <v>1296</v>
      </c>
      <c r="S23" s="23" t="n">
        <f aca="false">S19*Hypothèses!$B$25</f>
        <v>1512</v>
      </c>
      <c r="T23" s="23" t="n">
        <f aca="false">T19*Hypothèses!$B$25</f>
        <v>1404</v>
      </c>
      <c r="U23" s="23" t="n">
        <f aca="false">U19*Hypothèses!$B$25</f>
        <v>864</v>
      </c>
      <c r="V23" s="23" t="n">
        <f aca="false">V19*Hypothèses!$B$25</f>
        <v>540</v>
      </c>
      <c r="W23" s="23" t="n">
        <f aca="false">W19*Hypothèses!$B$25</f>
        <v>324</v>
      </c>
      <c r="X23" s="23" t="n">
        <f aca="false">X19*Hypothèses!$B$25</f>
        <v>216</v>
      </c>
      <c r="Y23" s="23" t="n">
        <f aca="false">Y19*Hypothèses!$B$25</f>
        <v>540</v>
      </c>
      <c r="Z23" s="23" t="n">
        <f aca="false">Z19*Hypothèses!$B$25</f>
        <v>864</v>
      </c>
      <c r="AA23" s="23" t="n">
        <f aca="false">AA19*Hypothèses!$B$25</f>
        <v>1080</v>
      </c>
      <c r="AB23" s="23" t="n">
        <f aca="false">AB19*Hypothèses!$B$25</f>
        <v>1080</v>
      </c>
      <c r="AC23" s="23" t="n">
        <f aca="false">AC19*Hypothèses!$B$25</f>
        <v>1755</v>
      </c>
      <c r="AD23" s="23" t="n">
        <f aca="false">AD19*Hypothèses!$B$25</f>
        <v>2106</v>
      </c>
      <c r="AE23" s="23" t="n">
        <f aca="false">AE19*Hypothèses!$B$25</f>
        <v>2457</v>
      </c>
      <c r="AF23" s="23" t="n">
        <f aca="false">AF19*Hypothèses!$B$25</f>
        <v>2281.5</v>
      </c>
      <c r="AG23" s="23" t="n">
        <f aca="false">AG19*Hypothèses!$B$25</f>
        <v>1404</v>
      </c>
      <c r="AH23" s="23" t="n">
        <f aca="false">AH19*Hypothèses!$B$25</f>
        <v>877.5</v>
      </c>
      <c r="AI23" s="23" t="n">
        <f aca="false">AI19*Hypothèses!$B$25</f>
        <v>526.5</v>
      </c>
      <c r="AJ23" s="23" t="n">
        <f aca="false">AJ19*Hypothèses!$B$25</f>
        <v>351</v>
      </c>
      <c r="AK23" s="23" t="n">
        <f aca="false">AK19*Hypothèses!$B$25</f>
        <v>877.5</v>
      </c>
      <c r="AL23" s="23" t="n">
        <f aca="false">AL19*Hypothèses!$B$25</f>
        <v>1404</v>
      </c>
      <c r="AM23" s="23" t="n">
        <f aca="false">AM19*Hypothèses!$B$25</f>
        <v>1755</v>
      </c>
      <c r="AN23" s="23" t="n">
        <f aca="false">AN19*Hypothèses!$B$25</f>
        <v>1755</v>
      </c>
    </row>
    <row r="24" customFormat="false" ht="15" hidden="false" customHeight="false" outlineLevel="0" collapsed="false">
      <c r="A24" s="24" t="s">
        <v>159</v>
      </c>
      <c r="C24" s="25" t="n">
        <f aca="false">C20-C22-C23</f>
        <v>0</v>
      </c>
      <c r="D24" s="25" t="n">
        <f aca="false">D20-D22-D23</f>
        <v>0</v>
      </c>
      <c r="E24" s="25" t="n">
        <f aca="false">E20-E22-E23</f>
        <v>0</v>
      </c>
      <c r="F24" s="25" t="n">
        <f aca="false">F20-F22-F23</f>
        <v>0</v>
      </c>
      <c r="G24" s="25" t="n">
        <f aca="false">G20-G22-G23</f>
        <v>152.25</v>
      </c>
      <c r="H24" s="25" t="n">
        <f aca="false">H20-H22-H23</f>
        <v>228.925</v>
      </c>
      <c r="I24" s="25" t="n">
        <f aca="false">I20-I22-I23</f>
        <v>207.751875</v>
      </c>
      <c r="J24" s="25" t="n">
        <f aca="false">J20-J22-J23</f>
        <v>300.176828125</v>
      </c>
      <c r="K24" s="25" t="n">
        <f aca="false">K20-K22-K23</f>
        <v>531.791157421875</v>
      </c>
      <c r="L24" s="25" t="n">
        <f aca="false">L20-L22-L23</f>
        <v>1039.63387848633</v>
      </c>
      <c r="M24" s="25" t="n">
        <f aca="false">M20-M22-M23</f>
        <v>2320.71178152417</v>
      </c>
      <c r="N24" s="25" t="n">
        <f aca="false">N20-N22-N23</f>
        <v>3262.71898698607</v>
      </c>
      <c r="O24" s="25" t="n">
        <f aca="false">O20-O22-O23</f>
        <v>4342.15101231141</v>
      </c>
      <c r="P24" s="25" t="n">
        <f aca="false">P20-P22-P23</f>
        <v>4809.59723700363</v>
      </c>
      <c r="Q24" s="25" t="n">
        <f aca="false">Q20-Q22-Q23</f>
        <v>7396.76278848473</v>
      </c>
      <c r="R24" s="25" t="n">
        <f aca="false">R20-R22-R23</f>
        <v>9203.84371877261</v>
      </c>
      <c r="S24" s="25" t="n">
        <f aca="false">S20-S22-S23</f>
        <v>11172.9476258033</v>
      </c>
      <c r="T24" s="25" t="n">
        <f aca="false">T20-T22-T23</f>
        <v>11866.0239351582</v>
      </c>
      <c r="U24" s="25" t="n">
        <f aca="false">U20-U22-U23</f>
        <v>10526.1733367793</v>
      </c>
      <c r="V24" s="25" t="n">
        <f aca="false">V20-V22-V23</f>
        <v>9657.81900335977</v>
      </c>
      <c r="W24" s="25" t="n">
        <f aca="false">W20-W22-W23</f>
        <v>8978.37352827578</v>
      </c>
      <c r="X24" s="25" t="n">
        <f aca="false">X20-X22-X23</f>
        <v>8586.71419006889</v>
      </c>
      <c r="Y24" s="25" t="n">
        <f aca="false">Y20-Y22-Y23</f>
        <v>10013.2463353172</v>
      </c>
      <c r="Z24" s="25" t="n">
        <f aca="false">Z20-Z22-Z23</f>
        <v>11714.9151769342</v>
      </c>
      <c r="AA24" s="25" t="n">
        <f aca="false">AA20-AA22-AA23</f>
        <v>13206.8422975109</v>
      </c>
      <c r="AB24" s="25" t="n">
        <f aca="false">AB20-AB22-AB23</f>
        <v>13912.6712400731</v>
      </c>
      <c r="AC24" s="25" t="n">
        <f aca="false">AC20-AC22-AC23</f>
        <v>17684.9361991485</v>
      </c>
      <c r="AD24" s="25" t="n">
        <f aca="false">AD20-AD22-AD23</f>
        <v>20495.4127941698</v>
      </c>
      <c r="AE24" s="25" t="n">
        <f aca="false">AE20-AE22-AE23</f>
        <v>23574.9274743155</v>
      </c>
      <c r="AF24" s="25" t="n">
        <f aca="false">AF20-AF22-AF23</f>
        <v>24582.6042874576</v>
      </c>
      <c r="AG24" s="25" t="n">
        <f aca="false">AG20-AG22-AG23</f>
        <v>22283.2391802712</v>
      </c>
      <c r="AH24" s="25" t="n">
        <f aca="false">AH20-AH22-AH23</f>
        <v>20749.2082007644</v>
      </c>
      <c r="AI24" s="25" t="n">
        <f aca="false">AI20-AI22-AI23</f>
        <v>19522.6279957453</v>
      </c>
      <c r="AJ24" s="25" t="n">
        <f aca="false">AJ20-AJ22-AJ23</f>
        <v>18765.4622958517</v>
      </c>
      <c r="AK24" s="25" t="n">
        <f aca="false">AK20-AK22-AK23</f>
        <v>20969.7757384554</v>
      </c>
      <c r="AL24" s="25" t="n">
        <f aca="false">AL20-AL22-AL23</f>
        <v>23627.931344994</v>
      </c>
      <c r="AM24" s="25" t="n">
        <f aca="false">AM20-AM22-AM23</f>
        <v>25950.5330613691</v>
      </c>
      <c r="AN24" s="25" t="n">
        <f aca="false">AN20-AN22-AN23</f>
        <v>26998.2697348349</v>
      </c>
    </row>
    <row r="25" customFormat="false" ht="15" hidden="false" customHeight="false" outlineLevel="0" collapsed="false">
      <c r="A25" s="5" t="s">
        <v>160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customFormat="false" ht="15" hidden="false" customHeight="false" outlineLevel="0" collapsed="false">
      <c r="A26" s="3" t="s">
        <v>161</v>
      </c>
      <c r="C26" s="23" t="s">
        <v>153</v>
      </c>
      <c r="D26" s="23" t="s">
        <v>153</v>
      </c>
      <c r="E26" s="23" t="n">
        <f aca="false">IF(3&gt;=Hypothèses!$B$41,Hypothèses!$C$41,0)</f>
        <v>2300</v>
      </c>
      <c r="F26" s="23" t="n">
        <f aca="false">IF(4&gt;=Hypothèses!$B$41,Hypothèses!$C$41,0)</f>
        <v>2300</v>
      </c>
      <c r="G26" s="23" t="n">
        <f aca="false">IF(5&gt;=Hypothèses!$B$41,Hypothèses!$C$41,0)</f>
        <v>2300</v>
      </c>
      <c r="H26" s="23" t="n">
        <f aca="false">IF(6&gt;=Hypothèses!$B$41,Hypothèses!$C$41,0)</f>
        <v>2300</v>
      </c>
      <c r="I26" s="23" t="n">
        <f aca="false">IF(7&gt;=Hypothèses!$B$41,Hypothèses!$C$41,0)</f>
        <v>2300</v>
      </c>
      <c r="J26" s="23" t="n">
        <f aca="false">IF(8&gt;=Hypothèses!$B$41,Hypothèses!$C$41,0)</f>
        <v>2300</v>
      </c>
      <c r="K26" s="23" t="n">
        <f aca="false">IF(9&gt;=Hypothèses!$B$41,Hypothèses!$C$41,0)</f>
        <v>2300</v>
      </c>
      <c r="L26" s="23" t="n">
        <f aca="false">IF(10&gt;=Hypothèses!$B$41,Hypothèses!$C$41,0)</f>
        <v>2300</v>
      </c>
      <c r="M26" s="23" t="n">
        <f aca="false">IF(11&gt;=Hypothèses!$B$41,Hypothèses!$C$41,0)</f>
        <v>2300</v>
      </c>
      <c r="N26" s="23" t="n">
        <f aca="false">IF(12&gt;=Hypothèses!$B$41,Hypothèses!$C$41,0)</f>
        <v>2300</v>
      </c>
      <c r="O26" s="23" t="n">
        <f aca="false">IF(13&gt;=Hypothèses!$B$41,Hypothèses!$C$41,0)</f>
        <v>2300</v>
      </c>
      <c r="P26" s="23" t="n">
        <f aca="false">IF(14&gt;=Hypothèses!$B$41,Hypothèses!$C$41,0)</f>
        <v>2300</v>
      </c>
      <c r="Q26" s="23" t="n">
        <f aca="false">IF(15&gt;=Hypothèses!$B$41,Hypothèses!$D$41,0)</f>
        <v>3600</v>
      </c>
      <c r="R26" s="23" t="n">
        <f aca="false">IF(16&gt;=Hypothèses!$B$41,Hypothèses!$D$41,0)</f>
        <v>3600</v>
      </c>
      <c r="S26" s="23" t="n">
        <f aca="false">IF(17&gt;=Hypothèses!$B$41,Hypothèses!$D$41,0)</f>
        <v>3600</v>
      </c>
      <c r="T26" s="23" t="n">
        <f aca="false">IF(18&gt;=Hypothèses!$B$41,Hypothèses!$D$41,0)</f>
        <v>3600</v>
      </c>
      <c r="U26" s="23" t="n">
        <f aca="false">IF(19&gt;=Hypothèses!$B$41,Hypothèses!$D$41,0)</f>
        <v>3600</v>
      </c>
      <c r="V26" s="23" t="n">
        <f aca="false">IF(20&gt;=Hypothèses!$B$41,Hypothèses!$D$41,0)</f>
        <v>3600</v>
      </c>
      <c r="W26" s="23" t="n">
        <f aca="false">IF(21&gt;=Hypothèses!$B$41,Hypothèses!$D$41,0)</f>
        <v>3600</v>
      </c>
      <c r="X26" s="23" t="n">
        <f aca="false">IF(22&gt;=Hypothèses!$B$41,Hypothèses!$D$41,0)</f>
        <v>3600</v>
      </c>
      <c r="Y26" s="23" t="n">
        <f aca="false">IF(23&gt;=Hypothèses!$B$41,Hypothèses!$D$41,0)</f>
        <v>3600</v>
      </c>
      <c r="Z26" s="23" t="n">
        <f aca="false">IF(24&gt;=Hypothèses!$B$41,Hypothèses!$D$41,0)</f>
        <v>3600</v>
      </c>
      <c r="AA26" s="23" t="n">
        <f aca="false">IF(25&gt;=Hypothèses!$B$41,Hypothèses!$D$41,0)</f>
        <v>3600</v>
      </c>
      <c r="AB26" s="23" t="n">
        <f aca="false">IF(26&gt;=Hypothèses!$B$41,Hypothèses!$D$41,0)</f>
        <v>3600</v>
      </c>
      <c r="AC26" s="23" t="n">
        <f aca="false">IF(27&gt;=Hypothèses!$B$41,Hypothèses!$E$41,0)</f>
        <v>4600</v>
      </c>
      <c r="AD26" s="23" t="n">
        <f aca="false">IF(28&gt;=Hypothèses!$B$41,Hypothèses!$E$41,0)</f>
        <v>4600</v>
      </c>
      <c r="AE26" s="23" t="n">
        <f aca="false">IF(29&gt;=Hypothèses!$B$41,Hypothèses!$E$41,0)</f>
        <v>4600</v>
      </c>
      <c r="AF26" s="23" t="n">
        <f aca="false">IF(30&gt;=Hypothèses!$B$41,Hypothèses!$E$41,0)</f>
        <v>4600</v>
      </c>
      <c r="AG26" s="23" t="n">
        <f aca="false">IF(31&gt;=Hypothèses!$B$41,Hypothèses!$E$41,0)</f>
        <v>4600</v>
      </c>
      <c r="AH26" s="23" t="n">
        <f aca="false">IF(32&gt;=Hypothèses!$B$41,Hypothèses!$E$41,0)</f>
        <v>4600</v>
      </c>
      <c r="AI26" s="23" t="n">
        <f aca="false">IF(33&gt;=Hypothèses!$B$41,Hypothèses!$E$41,0)</f>
        <v>4600</v>
      </c>
      <c r="AJ26" s="23" t="n">
        <f aca="false">IF(34&gt;=Hypothèses!$B$41,Hypothèses!$E$41,0)</f>
        <v>4600</v>
      </c>
      <c r="AK26" s="23" t="n">
        <f aca="false">IF(35&gt;=Hypothèses!$B$41,Hypothèses!$E$41,0)</f>
        <v>4600</v>
      </c>
      <c r="AL26" s="23" t="n">
        <f aca="false">IF(36&gt;=Hypothèses!$B$41,Hypothèses!$E$41,0)</f>
        <v>4600</v>
      </c>
      <c r="AM26" s="23" t="n">
        <f aca="false">IF(37&gt;=Hypothèses!$B$41,Hypothèses!$E$41,0)</f>
        <v>4600</v>
      </c>
      <c r="AN26" s="23" t="n">
        <f aca="false">IF(38&gt;=Hypothèses!$B$41,Hypothèses!$E$41,0)</f>
        <v>4600</v>
      </c>
    </row>
    <row r="27" customFormat="false" ht="15" hidden="false" customHeight="false" outlineLevel="0" collapsed="false">
      <c r="A27" s="3" t="s">
        <v>162</v>
      </c>
      <c r="C27" s="23" t="s">
        <v>153</v>
      </c>
      <c r="D27" s="23" t="s">
        <v>153</v>
      </c>
      <c r="E27" s="23" t="n">
        <f aca="false">IF(3&gt;=Hypothèses!$B$42,Hypothèses!$C$42,0)</f>
        <v>2300</v>
      </c>
      <c r="F27" s="23" t="n">
        <f aca="false">IF(4&gt;=Hypothèses!$B$42,Hypothèses!$C$42,0)</f>
        <v>2300</v>
      </c>
      <c r="G27" s="23" t="n">
        <f aca="false">IF(5&gt;=Hypothèses!$B$42,Hypothèses!$C$42,0)</f>
        <v>2300</v>
      </c>
      <c r="H27" s="23" t="n">
        <f aca="false">IF(6&gt;=Hypothèses!$B$42,Hypothèses!$C$42,0)</f>
        <v>2300</v>
      </c>
      <c r="I27" s="23" t="n">
        <f aca="false">IF(7&gt;=Hypothèses!$B$42,Hypothèses!$C$42,0)</f>
        <v>2300</v>
      </c>
      <c r="J27" s="23" t="n">
        <f aca="false">IF(8&gt;=Hypothèses!$B$42,Hypothèses!$C$42,0)</f>
        <v>2300</v>
      </c>
      <c r="K27" s="23" t="n">
        <f aca="false">IF(9&gt;=Hypothèses!$B$42,Hypothèses!$C$42,0)</f>
        <v>2300</v>
      </c>
      <c r="L27" s="23" t="n">
        <f aca="false">IF(10&gt;=Hypothèses!$B$42,Hypothèses!$C$42,0)</f>
        <v>2300</v>
      </c>
      <c r="M27" s="23" t="n">
        <f aca="false">IF(11&gt;=Hypothèses!$B$42,Hypothèses!$C$42,0)</f>
        <v>2300</v>
      </c>
      <c r="N27" s="23" t="n">
        <f aca="false">IF(12&gt;=Hypothèses!$B$42,Hypothèses!$C$42,0)</f>
        <v>2300</v>
      </c>
      <c r="O27" s="23" t="n">
        <f aca="false">IF(13&gt;=Hypothèses!$B$42,Hypothèses!$C$42,0)</f>
        <v>2300</v>
      </c>
      <c r="P27" s="23" t="n">
        <f aca="false">IF(14&gt;=Hypothèses!$B$42,Hypothèses!$C$42,0)</f>
        <v>2300</v>
      </c>
      <c r="Q27" s="23" t="n">
        <f aca="false">IF(15&gt;=Hypothèses!$B$42,Hypothèses!$D$42,0)</f>
        <v>3600</v>
      </c>
      <c r="R27" s="23" t="n">
        <f aca="false">IF(16&gt;=Hypothèses!$B$42,Hypothèses!$D$42,0)</f>
        <v>3600</v>
      </c>
      <c r="S27" s="23" t="n">
        <f aca="false">IF(17&gt;=Hypothèses!$B$42,Hypothèses!$D$42,0)</f>
        <v>3600</v>
      </c>
      <c r="T27" s="23" t="n">
        <f aca="false">IF(18&gt;=Hypothèses!$B$42,Hypothèses!$D$42,0)</f>
        <v>3600</v>
      </c>
      <c r="U27" s="23" t="n">
        <f aca="false">IF(19&gt;=Hypothèses!$B$42,Hypothèses!$D$42,0)</f>
        <v>3600</v>
      </c>
      <c r="V27" s="23" t="n">
        <f aca="false">IF(20&gt;=Hypothèses!$B$42,Hypothèses!$D$42,0)</f>
        <v>3600</v>
      </c>
      <c r="W27" s="23" t="n">
        <f aca="false">IF(21&gt;=Hypothèses!$B$42,Hypothèses!$D$42,0)</f>
        <v>3600</v>
      </c>
      <c r="X27" s="23" t="n">
        <f aca="false">IF(22&gt;=Hypothèses!$B$42,Hypothèses!$D$42,0)</f>
        <v>3600</v>
      </c>
      <c r="Y27" s="23" t="n">
        <f aca="false">IF(23&gt;=Hypothèses!$B$42,Hypothèses!$D$42,0)</f>
        <v>3600</v>
      </c>
      <c r="Z27" s="23" t="n">
        <f aca="false">IF(24&gt;=Hypothèses!$B$42,Hypothèses!$D$42,0)</f>
        <v>3600</v>
      </c>
      <c r="AA27" s="23" t="n">
        <f aca="false">IF(25&gt;=Hypothèses!$B$42,Hypothèses!$D$42,0)</f>
        <v>3600</v>
      </c>
      <c r="AB27" s="23" t="n">
        <f aca="false">IF(26&gt;=Hypothèses!$B$42,Hypothèses!$D$42,0)</f>
        <v>3600</v>
      </c>
      <c r="AC27" s="23" t="n">
        <f aca="false">IF(27&gt;=Hypothèses!$B$42,Hypothèses!$E$42,0)</f>
        <v>4600</v>
      </c>
      <c r="AD27" s="23" t="n">
        <f aca="false">IF(28&gt;=Hypothèses!$B$42,Hypothèses!$E$42,0)</f>
        <v>4600</v>
      </c>
      <c r="AE27" s="23" t="n">
        <f aca="false">IF(29&gt;=Hypothèses!$B$42,Hypothèses!$E$42,0)</f>
        <v>4600</v>
      </c>
      <c r="AF27" s="23" t="n">
        <f aca="false">IF(30&gt;=Hypothèses!$B$42,Hypothèses!$E$42,0)</f>
        <v>4600</v>
      </c>
      <c r="AG27" s="23" t="n">
        <f aca="false">IF(31&gt;=Hypothèses!$B$42,Hypothèses!$E$42,0)</f>
        <v>4600</v>
      </c>
      <c r="AH27" s="23" t="n">
        <f aca="false">IF(32&gt;=Hypothèses!$B$42,Hypothèses!$E$42,0)</f>
        <v>4600</v>
      </c>
      <c r="AI27" s="23" t="n">
        <f aca="false">IF(33&gt;=Hypothèses!$B$42,Hypothèses!$E$42,0)</f>
        <v>4600</v>
      </c>
      <c r="AJ27" s="23" t="n">
        <f aca="false">IF(34&gt;=Hypothèses!$B$42,Hypothèses!$E$42,0)</f>
        <v>4600</v>
      </c>
      <c r="AK27" s="23" t="n">
        <f aca="false">IF(35&gt;=Hypothèses!$B$42,Hypothèses!$E$42,0)</f>
        <v>4600</v>
      </c>
      <c r="AL27" s="23" t="n">
        <f aca="false">IF(36&gt;=Hypothèses!$B$42,Hypothèses!$E$42,0)</f>
        <v>4600</v>
      </c>
      <c r="AM27" s="23" t="n">
        <f aca="false">IF(37&gt;=Hypothèses!$B$42,Hypothèses!$E$42,0)</f>
        <v>4600</v>
      </c>
      <c r="AN27" s="23" t="n">
        <f aca="false">IF(38&gt;=Hypothèses!$B$42,Hypothèses!$E$42,0)</f>
        <v>4600</v>
      </c>
    </row>
    <row r="28" customFormat="false" ht="15" hidden="false" customHeight="false" outlineLevel="0" collapsed="false">
      <c r="A28" s="3" t="s">
        <v>163</v>
      </c>
      <c r="C28" s="23" t="s">
        <v>153</v>
      </c>
      <c r="D28" s="23" t="s">
        <v>153</v>
      </c>
      <c r="E28" s="23" t="n">
        <f aca="false">IF(3&gt;=Hypothèses!$B$43,Hypothèses!$C$43,0)</f>
        <v>0</v>
      </c>
      <c r="F28" s="23" t="n">
        <f aca="false">IF(4&gt;=Hypothèses!$B$43,Hypothèses!$C$43,0)</f>
        <v>0</v>
      </c>
      <c r="G28" s="23" t="n">
        <f aca="false">IF(5&gt;=Hypothèses!$B$43,Hypothèses!$C$43,0)</f>
        <v>0</v>
      </c>
      <c r="H28" s="23" t="n">
        <f aca="false">IF(6&gt;=Hypothèses!$B$43,Hypothèses!$C$43,0)</f>
        <v>0</v>
      </c>
      <c r="I28" s="23" t="n">
        <f aca="false">IF(7&gt;=Hypothèses!$B$43,Hypothèses!$C$43,0)</f>
        <v>0</v>
      </c>
      <c r="J28" s="23" t="n">
        <f aca="false">IF(8&gt;=Hypothèses!$B$43,Hypothèses!$C$43,0)</f>
        <v>0</v>
      </c>
      <c r="K28" s="23" t="n">
        <f aca="false">IF(9&gt;=Hypothèses!$B$43,Hypothèses!$C$43,0)</f>
        <v>0</v>
      </c>
      <c r="L28" s="23" t="n">
        <f aca="false">IF(10&gt;=Hypothèses!$B$43,Hypothèses!$C$43,0)</f>
        <v>0</v>
      </c>
      <c r="M28" s="23" t="n">
        <f aca="false">IF(11&gt;=Hypothèses!$B$43,Hypothèses!$C$43,0)</f>
        <v>3900</v>
      </c>
      <c r="N28" s="23" t="n">
        <f aca="false">IF(12&gt;=Hypothèses!$B$43,Hypothèses!$C$43,0)</f>
        <v>3900</v>
      </c>
      <c r="O28" s="23" t="n">
        <f aca="false">IF(13&gt;=Hypothèses!$B$43,Hypothèses!$C$43,0)</f>
        <v>3900</v>
      </c>
      <c r="P28" s="23" t="n">
        <f aca="false">IF(14&gt;=Hypothèses!$B$43,Hypothèses!$C$43,0)</f>
        <v>3900</v>
      </c>
      <c r="Q28" s="23" t="n">
        <f aca="false">IF(15&gt;=Hypothèses!$B$43,Hypothèses!$D$43,0)</f>
        <v>4000</v>
      </c>
      <c r="R28" s="23" t="n">
        <f aca="false">IF(16&gt;=Hypothèses!$B$43,Hypothèses!$D$43,0)</f>
        <v>4000</v>
      </c>
      <c r="S28" s="23" t="n">
        <f aca="false">IF(17&gt;=Hypothèses!$B$43,Hypothèses!$D$43,0)</f>
        <v>4000</v>
      </c>
      <c r="T28" s="23" t="n">
        <f aca="false">IF(18&gt;=Hypothèses!$B$43,Hypothèses!$D$43,0)</f>
        <v>4000</v>
      </c>
      <c r="U28" s="23" t="n">
        <f aca="false">IF(19&gt;=Hypothèses!$B$43,Hypothèses!$D$43,0)</f>
        <v>4000</v>
      </c>
      <c r="V28" s="23" t="n">
        <f aca="false">IF(20&gt;=Hypothèses!$B$43,Hypothèses!$D$43,0)</f>
        <v>4000</v>
      </c>
      <c r="W28" s="23" t="n">
        <f aca="false">IF(21&gt;=Hypothèses!$B$43,Hypothèses!$D$43,0)</f>
        <v>4000</v>
      </c>
      <c r="X28" s="23" t="n">
        <f aca="false">IF(22&gt;=Hypothèses!$B$43,Hypothèses!$D$43,0)</f>
        <v>4000</v>
      </c>
      <c r="Y28" s="23" t="n">
        <f aca="false">IF(23&gt;=Hypothèses!$B$43,Hypothèses!$D$43,0)</f>
        <v>4000</v>
      </c>
      <c r="Z28" s="23" t="n">
        <f aca="false">IF(24&gt;=Hypothèses!$B$43,Hypothèses!$D$43,0)</f>
        <v>4000</v>
      </c>
      <c r="AA28" s="23" t="n">
        <f aca="false">IF(25&gt;=Hypothèses!$B$43,Hypothèses!$D$43,0)</f>
        <v>4000</v>
      </c>
      <c r="AB28" s="23" t="n">
        <f aca="false">IF(26&gt;=Hypothèses!$B$43,Hypothèses!$D$43,0)</f>
        <v>4000</v>
      </c>
      <c r="AC28" s="23" t="n">
        <f aca="false">IF(27&gt;=Hypothèses!$B$43,Hypothèses!$E$43,0)</f>
        <v>4100</v>
      </c>
      <c r="AD28" s="23" t="n">
        <f aca="false">IF(28&gt;=Hypothèses!$B$43,Hypothèses!$E$43,0)</f>
        <v>4100</v>
      </c>
      <c r="AE28" s="23" t="n">
        <f aca="false">IF(29&gt;=Hypothèses!$B$43,Hypothèses!$E$43,0)</f>
        <v>4100</v>
      </c>
      <c r="AF28" s="23" t="n">
        <f aca="false">IF(30&gt;=Hypothèses!$B$43,Hypothèses!$E$43,0)</f>
        <v>4100</v>
      </c>
      <c r="AG28" s="23" t="n">
        <f aca="false">IF(31&gt;=Hypothèses!$B$43,Hypothèses!$E$43,0)</f>
        <v>4100</v>
      </c>
      <c r="AH28" s="23" t="n">
        <f aca="false">IF(32&gt;=Hypothèses!$B$43,Hypothèses!$E$43,0)</f>
        <v>4100</v>
      </c>
      <c r="AI28" s="23" t="n">
        <f aca="false">IF(33&gt;=Hypothèses!$B$43,Hypothèses!$E$43,0)</f>
        <v>4100</v>
      </c>
      <c r="AJ28" s="23" t="n">
        <f aca="false">IF(34&gt;=Hypothèses!$B$43,Hypothèses!$E$43,0)</f>
        <v>4100</v>
      </c>
      <c r="AK28" s="23" t="n">
        <f aca="false">IF(35&gt;=Hypothèses!$B$43,Hypothèses!$E$43,0)</f>
        <v>4100</v>
      </c>
      <c r="AL28" s="23" t="n">
        <f aca="false">IF(36&gt;=Hypothèses!$B$43,Hypothèses!$E$43,0)</f>
        <v>4100</v>
      </c>
      <c r="AM28" s="23" t="n">
        <f aca="false">IF(37&gt;=Hypothèses!$B$43,Hypothèses!$E$43,0)</f>
        <v>4100</v>
      </c>
      <c r="AN28" s="23" t="n">
        <f aca="false">IF(38&gt;=Hypothèses!$B$43,Hypothèses!$E$43,0)</f>
        <v>4100</v>
      </c>
    </row>
    <row r="29" customFormat="false" ht="15" hidden="false" customHeight="false" outlineLevel="0" collapsed="false">
      <c r="A29" s="3" t="s">
        <v>164</v>
      </c>
      <c r="C29" s="23" t="s">
        <v>153</v>
      </c>
      <c r="D29" s="23" t="s">
        <v>153</v>
      </c>
      <c r="E29" s="23" t="n">
        <f aca="false">IF(3&gt;=Hypothèses!$B$44,Hypothèses!$C$44,0)</f>
        <v>0</v>
      </c>
      <c r="F29" s="23" t="n">
        <f aca="false">IF(4&gt;=Hypothèses!$B$44,Hypothèses!$C$44,0)</f>
        <v>0</v>
      </c>
      <c r="G29" s="23" t="n">
        <f aca="false">IF(5&gt;=Hypothèses!$B$44,Hypothèses!$C$44,0)</f>
        <v>0</v>
      </c>
      <c r="H29" s="23" t="n">
        <f aca="false">IF(6&gt;=Hypothèses!$B$44,Hypothèses!$C$44,0)</f>
        <v>0</v>
      </c>
      <c r="I29" s="23" t="n">
        <f aca="false">IF(7&gt;=Hypothèses!$B$44,Hypothèses!$C$44,0)</f>
        <v>0</v>
      </c>
      <c r="J29" s="23" t="n">
        <f aca="false">IF(8&gt;=Hypothèses!$B$44,Hypothèses!$C$44,0)</f>
        <v>0</v>
      </c>
      <c r="K29" s="23" t="n">
        <f aca="false">IF(9&gt;=Hypothèses!$B$44,Hypothèses!$C$44,0)</f>
        <v>0</v>
      </c>
      <c r="L29" s="23" t="n">
        <f aca="false">IF(10&gt;=Hypothèses!$B$44,Hypothèses!$C$44,0)</f>
        <v>0</v>
      </c>
      <c r="M29" s="23" t="n">
        <f aca="false">IF(11&gt;=Hypothèses!$B$44,Hypothèses!$C$44,0)</f>
        <v>950</v>
      </c>
      <c r="N29" s="23" t="n">
        <f aca="false">IF(12&gt;=Hypothèses!$B$44,Hypothèses!$C$44,0)</f>
        <v>950</v>
      </c>
      <c r="O29" s="23" t="n">
        <f aca="false">IF(13&gt;=Hypothèses!$B$44,Hypothèses!$C$44,0)</f>
        <v>950</v>
      </c>
      <c r="P29" s="23" t="n">
        <f aca="false">IF(14&gt;=Hypothèses!$B$44,Hypothèses!$C$44,0)</f>
        <v>950</v>
      </c>
      <c r="Q29" s="23" t="n">
        <f aca="false">IF(15&gt;=Hypothèses!$B$44,Hypothèses!$D$44,0)</f>
        <v>950</v>
      </c>
      <c r="R29" s="23" t="n">
        <f aca="false">IF(16&gt;=Hypothèses!$B$44,Hypothèses!$D$44,0)</f>
        <v>950</v>
      </c>
      <c r="S29" s="23" t="n">
        <f aca="false">IF(17&gt;=Hypothèses!$B$44,Hypothèses!$D$44,0)</f>
        <v>950</v>
      </c>
      <c r="T29" s="23" t="n">
        <f aca="false">IF(18&gt;=Hypothèses!$B$44,Hypothèses!$D$44,0)</f>
        <v>950</v>
      </c>
      <c r="U29" s="23" t="n">
        <f aca="false">IF(19&gt;=Hypothèses!$B$44,Hypothèses!$D$44,0)</f>
        <v>950</v>
      </c>
      <c r="V29" s="23" t="n">
        <f aca="false">IF(20&gt;=Hypothèses!$B$44,Hypothèses!$D$44,0)</f>
        <v>950</v>
      </c>
      <c r="W29" s="23" t="n">
        <f aca="false">IF(21&gt;=Hypothèses!$B$44,Hypothèses!$D$44,0)</f>
        <v>950</v>
      </c>
      <c r="X29" s="23" t="n">
        <f aca="false">IF(22&gt;=Hypothèses!$B$44,Hypothèses!$D$44,0)</f>
        <v>950</v>
      </c>
      <c r="Y29" s="23" t="n">
        <f aca="false">IF(23&gt;=Hypothèses!$B$44,Hypothèses!$D$44,0)</f>
        <v>950</v>
      </c>
      <c r="Z29" s="23" t="n">
        <f aca="false">IF(24&gt;=Hypothèses!$B$44,Hypothèses!$D$44,0)</f>
        <v>950</v>
      </c>
      <c r="AA29" s="23" t="n">
        <f aca="false">IF(25&gt;=Hypothèses!$B$44,Hypothèses!$D$44,0)</f>
        <v>950</v>
      </c>
      <c r="AB29" s="23" t="n">
        <f aca="false">IF(26&gt;=Hypothèses!$B$44,Hypothèses!$D$44,0)</f>
        <v>950</v>
      </c>
      <c r="AC29" s="23" t="n">
        <f aca="false">IF(27&gt;=Hypothèses!$B$44,Hypothèses!$E$44,0)</f>
        <v>950</v>
      </c>
      <c r="AD29" s="23" t="n">
        <f aca="false">IF(28&gt;=Hypothèses!$B$44,Hypothèses!$E$44,0)</f>
        <v>950</v>
      </c>
      <c r="AE29" s="23" t="n">
        <f aca="false">IF(29&gt;=Hypothèses!$B$44,Hypothèses!$E$44,0)</f>
        <v>950</v>
      </c>
      <c r="AF29" s="23" t="n">
        <f aca="false">IF(30&gt;=Hypothèses!$B$44,Hypothèses!$E$44,0)</f>
        <v>950</v>
      </c>
      <c r="AG29" s="23" t="n">
        <f aca="false">IF(31&gt;=Hypothèses!$B$44,Hypothèses!$E$44,0)</f>
        <v>950</v>
      </c>
      <c r="AH29" s="23" t="n">
        <f aca="false">IF(32&gt;=Hypothèses!$B$44,Hypothèses!$E$44,0)</f>
        <v>950</v>
      </c>
      <c r="AI29" s="23" t="n">
        <f aca="false">IF(33&gt;=Hypothèses!$B$44,Hypothèses!$E$44,0)</f>
        <v>950</v>
      </c>
      <c r="AJ29" s="23" t="n">
        <f aca="false">IF(34&gt;=Hypothèses!$B$44,Hypothèses!$E$44,0)</f>
        <v>950</v>
      </c>
      <c r="AK29" s="23" t="n">
        <f aca="false">IF(35&gt;=Hypothèses!$B$44,Hypothèses!$E$44,0)</f>
        <v>950</v>
      </c>
      <c r="AL29" s="23" t="n">
        <f aca="false">IF(36&gt;=Hypothèses!$B$44,Hypothèses!$E$44,0)</f>
        <v>950</v>
      </c>
      <c r="AM29" s="23" t="n">
        <f aca="false">IF(37&gt;=Hypothèses!$B$44,Hypothèses!$E$44,0)</f>
        <v>950</v>
      </c>
      <c r="AN29" s="23" t="n">
        <f aca="false">IF(38&gt;=Hypothèses!$B$44,Hypothèses!$E$44,0)</f>
        <v>950</v>
      </c>
    </row>
    <row r="30" customFormat="false" ht="15" hidden="false" customHeight="false" outlineLevel="0" collapsed="false">
      <c r="A30" s="3" t="s">
        <v>165</v>
      </c>
      <c r="C30" s="23" t="s">
        <v>153</v>
      </c>
      <c r="D30" s="23" t="s">
        <v>153</v>
      </c>
      <c r="E30" s="23" t="n">
        <f aca="false">IF(3&gt;=Hypothèses!$B$45,Hypothèses!$C$45,0)</f>
        <v>0</v>
      </c>
      <c r="F30" s="23" t="n">
        <f aca="false">IF(4&gt;=Hypothèses!$B$45,Hypothèses!$C$45,0)</f>
        <v>0</v>
      </c>
      <c r="G30" s="23" t="n">
        <f aca="false">IF(5&gt;=Hypothèses!$B$45,Hypothèses!$C$45,0)</f>
        <v>0</v>
      </c>
      <c r="H30" s="23" t="n">
        <f aca="false">IF(6&gt;=Hypothèses!$B$45,Hypothèses!$C$45,0)</f>
        <v>0</v>
      </c>
      <c r="I30" s="23" t="n">
        <f aca="false">IF(7&gt;=Hypothèses!$B$45,Hypothèses!$C$45,0)</f>
        <v>0</v>
      </c>
      <c r="J30" s="23" t="n">
        <f aca="false">IF(8&gt;=Hypothèses!$B$45,Hypothèses!$C$45,0)</f>
        <v>0</v>
      </c>
      <c r="K30" s="23" t="n">
        <f aca="false">IF(9&gt;=Hypothèses!$B$45,Hypothèses!$C$45,0)</f>
        <v>0</v>
      </c>
      <c r="L30" s="23" t="n">
        <f aca="false">IF(10&gt;=Hypothèses!$B$45,Hypothèses!$C$45,0)</f>
        <v>0</v>
      </c>
      <c r="M30" s="23" t="n">
        <f aca="false">IF(11&gt;=Hypothèses!$B$45,Hypothèses!$C$45,0)</f>
        <v>0</v>
      </c>
      <c r="N30" s="23" t="n">
        <f aca="false">IF(12&gt;=Hypothèses!$B$45,Hypothèses!$C$45,0)</f>
        <v>0</v>
      </c>
      <c r="O30" s="23" t="n">
        <f aca="false">IF(13&gt;=Hypothèses!$B$45,Hypothèses!$C$45,0)</f>
        <v>0</v>
      </c>
      <c r="P30" s="23" t="n">
        <f aca="false">IF(14&gt;=Hypothèses!$B$45,Hypothèses!$C$45,0)</f>
        <v>0</v>
      </c>
      <c r="Q30" s="23" t="n">
        <f aca="false">IF(15&gt;=Hypothèses!$B$45,Hypothèses!$D$45,0)</f>
        <v>0</v>
      </c>
      <c r="R30" s="23" t="n">
        <f aca="false">IF(16&gt;=Hypothèses!$B$45,Hypothèses!$D$45,0)</f>
        <v>0</v>
      </c>
      <c r="S30" s="23" t="n">
        <f aca="false">IF(17&gt;=Hypothèses!$B$45,Hypothèses!$D$45,0)</f>
        <v>0</v>
      </c>
      <c r="T30" s="23" t="n">
        <f aca="false">IF(18&gt;=Hypothèses!$B$45,Hypothèses!$D$45,0)</f>
        <v>0</v>
      </c>
      <c r="U30" s="23" t="n">
        <f aca="false">IF(19&gt;=Hypothèses!$B$45,Hypothèses!$D$45,0)</f>
        <v>0</v>
      </c>
      <c r="V30" s="23" t="n">
        <f aca="false">IF(20&gt;=Hypothèses!$B$45,Hypothèses!$D$45,0)</f>
        <v>0</v>
      </c>
      <c r="W30" s="23" t="n">
        <f aca="false">IF(21&gt;=Hypothèses!$B$45,Hypothèses!$D$45,0)</f>
        <v>0</v>
      </c>
      <c r="X30" s="23" t="n">
        <f aca="false">IF(22&gt;=Hypothèses!$B$45,Hypothèses!$D$45,0)</f>
        <v>0</v>
      </c>
      <c r="Y30" s="23" t="n">
        <f aca="false">IF(23&gt;=Hypothèses!$B$45,Hypothèses!$D$45,0)</f>
        <v>0</v>
      </c>
      <c r="Z30" s="23" t="n">
        <f aca="false">IF(24&gt;=Hypothèses!$B$45,Hypothèses!$D$45,0)</f>
        <v>0</v>
      </c>
      <c r="AA30" s="23" t="n">
        <f aca="false">IF(25&gt;=Hypothèses!$B$45,Hypothèses!$D$45,0)</f>
        <v>0</v>
      </c>
      <c r="AB30" s="23" t="n">
        <f aca="false">IF(26&gt;=Hypothèses!$B$45,Hypothèses!$D$45,0)</f>
        <v>0</v>
      </c>
      <c r="AC30" s="23" t="n">
        <f aca="false">IF(27&gt;=Hypothèses!$B$45,Hypothèses!$E$45,0)</f>
        <v>0</v>
      </c>
      <c r="AD30" s="23" t="n">
        <f aca="false">IF(28&gt;=Hypothèses!$B$45,Hypothèses!$E$45,0)</f>
        <v>0</v>
      </c>
      <c r="AE30" s="23" t="n">
        <f aca="false">IF(29&gt;=Hypothèses!$B$45,Hypothèses!$E$45,0)</f>
        <v>0</v>
      </c>
      <c r="AF30" s="23" t="n">
        <f aca="false">IF(30&gt;=Hypothèses!$B$45,Hypothèses!$E$45,0)</f>
        <v>0</v>
      </c>
      <c r="AG30" s="23" t="n">
        <f aca="false">IF(31&gt;=Hypothèses!$B$45,Hypothèses!$E$45,0)</f>
        <v>0</v>
      </c>
      <c r="AH30" s="23" t="n">
        <f aca="false">IF(32&gt;=Hypothèses!$B$45,Hypothèses!$E$45,0)</f>
        <v>0</v>
      </c>
      <c r="AI30" s="23" t="n">
        <f aca="false">IF(33&gt;=Hypothèses!$B$45,Hypothèses!$E$45,0)</f>
        <v>0</v>
      </c>
      <c r="AJ30" s="23" t="n">
        <f aca="false">IF(34&gt;=Hypothèses!$B$45,Hypothèses!$E$45,0)</f>
        <v>0</v>
      </c>
      <c r="AK30" s="23" t="n">
        <f aca="false">IF(35&gt;=Hypothèses!$B$45,Hypothèses!$E$45,0)</f>
        <v>0</v>
      </c>
      <c r="AL30" s="23" t="n">
        <f aca="false">IF(36&gt;=Hypothèses!$B$45,Hypothèses!$E$45,0)</f>
        <v>0</v>
      </c>
      <c r="AM30" s="23" t="n">
        <f aca="false">IF(37&gt;=Hypothèses!$B$45,Hypothèses!$E$45,0)</f>
        <v>0</v>
      </c>
      <c r="AN30" s="23" t="n">
        <f aca="false">IF(38&gt;=Hypothèses!$B$45,Hypothèses!$E$45,0)</f>
        <v>0</v>
      </c>
    </row>
    <row r="31" customFormat="false" ht="15" hidden="false" customHeight="false" outlineLevel="0" collapsed="false">
      <c r="A31" s="3" t="s">
        <v>166</v>
      </c>
      <c r="C31" s="23" t="s">
        <v>153</v>
      </c>
      <c r="D31" s="23" t="s">
        <v>153</v>
      </c>
      <c r="E31" s="23" t="n">
        <f aca="false">IF(3&gt;=Hypothèses!$B$46,Hypothèses!$C$46,0)</f>
        <v>0</v>
      </c>
      <c r="F31" s="23" t="n">
        <f aca="false">IF(4&gt;=Hypothèses!$B$46,Hypothèses!$C$46,0)</f>
        <v>0</v>
      </c>
      <c r="G31" s="23" t="n">
        <f aca="false">IF(5&gt;=Hypothèses!$B$46,Hypothèses!$C$46,0)</f>
        <v>0</v>
      </c>
      <c r="H31" s="23" t="n">
        <f aca="false">IF(6&gt;=Hypothèses!$B$46,Hypothèses!$C$46,0)</f>
        <v>0</v>
      </c>
      <c r="I31" s="23" t="n">
        <f aca="false">IF(7&gt;=Hypothèses!$B$46,Hypothèses!$C$46,0)</f>
        <v>0</v>
      </c>
      <c r="J31" s="23" t="n">
        <f aca="false">IF(8&gt;=Hypothèses!$B$46,Hypothèses!$C$46,0)</f>
        <v>0</v>
      </c>
      <c r="K31" s="23" t="n">
        <f aca="false">IF(9&gt;=Hypothèses!$B$46,Hypothèses!$C$46,0)</f>
        <v>0</v>
      </c>
      <c r="L31" s="23" t="n">
        <f aca="false">IF(10&gt;=Hypothèses!$B$46,Hypothèses!$C$46,0)</f>
        <v>0</v>
      </c>
      <c r="M31" s="23" t="n">
        <f aca="false">IF(11&gt;=Hypothèses!$B$46,Hypothèses!$C$46,0)</f>
        <v>0</v>
      </c>
      <c r="N31" s="23" t="n">
        <f aca="false">IF(12&gt;=Hypothèses!$B$46,Hypothèses!$C$46,0)</f>
        <v>0</v>
      </c>
      <c r="O31" s="23" t="n">
        <f aca="false">IF(13&gt;=Hypothèses!$B$46,Hypothèses!$C$46,0)</f>
        <v>0</v>
      </c>
      <c r="P31" s="23" t="n">
        <f aca="false">IF(14&gt;=Hypothèses!$B$46,Hypothèses!$C$46,0)</f>
        <v>0</v>
      </c>
      <c r="Q31" s="23" t="n">
        <f aca="false">IF(15&gt;=Hypothèses!$B$46,Hypothèses!$D$46,0)</f>
        <v>0</v>
      </c>
      <c r="R31" s="23" t="n">
        <f aca="false">IF(16&gt;=Hypothèses!$B$46,Hypothèses!$D$46,0)</f>
        <v>0</v>
      </c>
      <c r="S31" s="23" t="n">
        <f aca="false">IF(17&gt;=Hypothèses!$B$46,Hypothèses!$D$46,0)</f>
        <v>0</v>
      </c>
      <c r="T31" s="23" t="n">
        <f aca="false">IF(18&gt;=Hypothèses!$B$46,Hypothèses!$D$46,0)</f>
        <v>0</v>
      </c>
      <c r="U31" s="23" t="n">
        <f aca="false">IF(19&gt;=Hypothèses!$B$46,Hypothèses!$D$46,0)</f>
        <v>0</v>
      </c>
      <c r="V31" s="23" t="n">
        <f aca="false">IF(20&gt;=Hypothèses!$B$46,Hypothèses!$D$46,0)</f>
        <v>0</v>
      </c>
      <c r="W31" s="23" t="n">
        <f aca="false">IF(21&gt;=Hypothèses!$B$46,Hypothèses!$D$46,0)</f>
        <v>0</v>
      </c>
      <c r="X31" s="23" t="n">
        <f aca="false">IF(22&gt;=Hypothèses!$B$46,Hypothèses!$D$46,0)</f>
        <v>0</v>
      </c>
      <c r="Y31" s="23" t="n">
        <f aca="false">IF(23&gt;=Hypothèses!$B$46,Hypothèses!$D$46,0)</f>
        <v>0</v>
      </c>
      <c r="Z31" s="23" t="n">
        <f aca="false">IF(24&gt;=Hypothèses!$B$46,Hypothèses!$D$46,0)</f>
        <v>0</v>
      </c>
      <c r="AA31" s="23" t="n">
        <f aca="false">IF(25&gt;=Hypothèses!$B$46,Hypothèses!$D$46,0)</f>
        <v>0</v>
      </c>
      <c r="AB31" s="23" t="n">
        <f aca="false">IF(26&gt;=Hypothèses!$B$46,Hypothèses!$D$46,0)</f>
        <v>0</v>
      </c>
      <c r="AC31" s="23" t="n">
        <f aca="false">IF(27&gt;=Hypothèses!$B$46,Hypothèses!$E$46,0)</f>
        <v>0</v>
      </c>
      <c r="AD31" s="23" t="n">
        <f aca="false">IF(28&gt;=Hypothèses!$B$46,Hypothèses!$E$46,0)</f>
        <v>0</v>
      </c>
      <c r="AE31" s="23" t="n">
        <f aca="false">IF(29&gt;=Hypothèses!$B$46,Hypothèses!$E$46,0)</f>
        <v>0</v>
      </c>
      <c r="AF31" s="23" t="n">
        <f aca="false">IF(30&gt;=Hypothèses!$B$46,Hypothèses!$E$46,0)</f>
        <v>0</v>
      </c>
      <c r="AG31" s="23" t="n">
        <f aca="false">IF(31&gt;=Hypothèses!$B$46,Hypothèses!$E$46,0)</f>
        <v>0</v>
      </c>
      <c r="AH31" s="23" t="n">
        <f aca="false">IF(32&gt;=Hypothèses!$B$46,Hypothèses!$E$46,0)</f>
        <v>0</v>
      </c>
      <c r="AI31" s="23" t="n">
        <f aca="false">IF(33&gt;=Hypothèses!$B$46,Hypothèses!$E$46,0)</f>
        <v>0</v>
      </c>
      <c r="AJ31" s="23" t="n">
        <f aca="false">IF(34&gt;=Hypothèses!$B$46,Hypothèses!$E$46,0)</f>
        <v>0</v>
      </c>
      <c r="AK31" s="23" t="n">
        <f aca="false">IF(35&gt;=Hypothèses!$B$46,Hypothèses!$E$46,0)</f>
        <v>0</v>
      </c>
      <c r="AL31" s="23" t="n">
        <f aca="false">IF(36&gt;=Hypothèses!$B$46,Hypothèses!$E$46,0)</f>
        <v>0</v>
      </c>
      <c r="AM31" s="23" t="n">
        <f aca="false">IF(37&gt;=Hypothèses!$B$46,Hypothèses!$E$46,0)</f>
        <v>0</v>
      </c>
      <c r="AN31" s="23" t="n">
        <f aca="false">IF(38&gt;=Hypothèses!$B$46,Hypothèses!$E$46,0)</f>
        <v>0</v>
      </c>
    </row>
    <row r="32" customFormat="false" ht="15" hidden="false" customHeight="false" outlineLevel="0" collapsed="false">
      <c r="A32" s="3" t="s">
        <v>167</v>
      </c>
      <c r="C32" s="23" t="s">
        <v>153</v>
      </c>
      <c r="D32" s="23" t="s">
        <v>153</v>
      </c>
      <c r="E32" s="23" t="n">
        <f aca="false">IF(3&gt;=Hypothèses!$B$47,Hypothèses!$C$47,0)</f>
        <v>0</v>
      </c>
      <c r="F32" s="23" t="n">
        <f aca="false">IF(4&gt;=Hypothèses!$B$47,Hypothèses!$C$47,0)</f>
        <v>0</v>
      </c>
      <c r="G32" s="23" t="n">
        <f aca="false">IF(5&gt;=Hypothèses!$B$47,Hypothèses!$C$47,0)</f>
        <v>0</v>
      </c>
      <c r="H32" s="23" t="n">
        <f aca="false">IF(6&gt;=Hypothèses!$B$47,Hypothèses!$C$47,0)</f>
        <v>0</v>
      </c>
      <c r="I32" s="23" t="n">
        <f aca="false">IF(7&gt;=Hypothèses!$B$47,Hypothèses!$C$47,0)</f>
        <v>0</v>
      </c>
      <c r="J32" s="23" t="n">
        <f aca="false">IF(8&gt;=Hypothèses!$B$47,Hypothèses!$C$47,0)</f>
        <v>0</v>
      </c>
      <c r="K32" s="23" t="n">
        <f aca="false">IF(9&gt;=Hypothèses!$B$47,Hypothèses!$C$47,0)</f>
        <v>0</v>
      </c>
      <c r="L32" s="23" t="n">
        <f aca="false">IF(10&gt;=Hypothèses!$B$47,Hypothèses!$C$47,0)</f>
        <v>0</v>
      </c>
      <c r="M32" s="23" t="n">
        <f aca="false">IF(11&gt;=Hypothèses!$B$47,Hypothèses!$C$47,0)</f>
        <v>0</v>
      </c>
      <c r="N32" s="23" t="n">
        <f aca="false">IF(12&gt;=Hypothèses!$B$47,Hypothèses!$C$47,0)</f>
        <v>0</v>
      </c>
      <c r="O32" s="23" t="n">
        <f aca="false">IF(13&gt;=Hypothèses!$B$47,Hypothèses!$C$47,0)</f>
        <v>0</v>
      </c>
      <c r="P32" s="23" t="n">
        <f aca="false">IF(14&gt;=Hypothèses!$B$47,Hypothèses!$C$47,0)</f>
        <v>0</v>
      </c>
      <c r="Q32" s="23" t="n">
        <f aca="false">IF(15&gt;=Hypothèses!$B$47,Hypothèses!$D$47,0)</f>
        <v>0</v>
      </c>
      <c r="R32" s="23" t="n">
        <f aca="false">IF(16&gt;=Hypothèses!$B$47,Hypothèses!$D$47,0)</f>
        <v>0</v>
      </c>
      <c r="S32" s="23" t="n">
        <f aca="false">IF(17&gt;=Hypothèses!$B$47,Hypothèses!$D$47,0)</f>
        <v>0</v>
      </c>
      <c r="T32" s="23" t="n">
        <f aca="false">IF(18&gt;=Hypothèses!$B$47,Hypothèses!$D$47,0)</f>
        <v>0</v>
      </c>
      <c r="U32" s="23" t="n">
        <f aca="false">IF(19&gt;=Hypothèses!$B$47,Hypothèses!$D$47,0)</f>
        <v>0</v>
      </c>
      <c r="V32" s="23" t="n">
        <f aca="false">IF(20&gt;=Hypothèses!$B$47,Hypothèses!$D$47,0)</f>
        <v>0</v>
      </c>
      <c r="W32" s="23" t="n">
        <f aca="false">IF(21&gt;=Hypothèses!$B$47,Hypothèses!$D$47,0)</f>
        <v>0</v>
      </c>
      <c r="X32" s="23" t="n">
        <f aca="false">IF(22&gt;=Hypothèses!$B$47,Hypothèses!$D$47,0)</f>
        <v>0</v>
      </c>
      <c r="Y32" s="23" t="n">
        <f aca="false">IF(23&gt;=Hypothèses!$B$47,Hypothèses!$D$47,0)</f>
        <v>0</v>
      </c>
      <c r="Z32" s="23" t="n">
        <f aca="false">IF(24&gt;=Hypothèses!$B$47,Hypothèses!$D$47,0)</f>
        <v>0</v>
      </c>
      <c r="AA32" s="23" t="n">
        <f aca="false">IF(25&gt;=Hypothèses!$B$47,Hypothèses!$D$47,0)</f>
        <v>0</v>
      </c>
      <c r="AB32" s="23" t="n">
        <f aca="false">IF(26&gt;=Hypothèses!$B$47,Hypothèses!$D$47,0)</f>
        <v>0</v>
      </c>
      <c r="AC32" s="23" t="n">
        <f aca="false">IF(27&gt;=Hypothèses!$B$47,Hypothèses!$E$47,0)</f>
        <v>0</v>
      </c>
      <c r="AD32" s="23" t="n">
        <f aca="false">IF(28&gt;=Hypothèses!$B$47,Hypothèses!$E$47,0)</f>
        <v>0</v>
      </c>
      <c r="AE32" s="23" t="n">
        <f aca="false">IF(29&gt;=Hypothèses!$B$47,Hypothèses!$E$47,0)</f>
        <v>0</v>
      </c>
      <c r="AF32" s="23" t="n">
        <f aca="false">IF(30&gt;=Hypothèses!$B$47,Hypothèses!$E$47,0)</f>
        <v>0</v>
      </c>
      <c r="AG32" s="23" t="n">
        <f aca="false">IF(31&gt;=Hypothèses!$B$47,Hypothèses!$E$47,0)</f>
        <v>0</v>
      </c>
      <c r="AH32" s="23" t="n">
        <f aca="false">IF(32&gt;=Hypothèses!$B$47,Hypothèses!$E$47,0)</f>
        <v>0</v>
      </c>
      <c r="AI32" s="23" t="n">
        <f aca="false">IF(33&gt;=Hypothèses!$B$47,Hypothèses!$E$47,0)</f>
        <v>0</v>
      </c>
      <c r="AJ32" s="23" t="n">
        <f aca="false">IF(34&gt;=Hypothèses!$B$47,Hypothèses!$E$47,0)</f>
        <v>0</v>
      </c>
      <c r="AK32" s="23" t="n">
        <f aca="false">IF(35&gt;=Hypothèses!$B$47,Hypothèses!$E$47,0)</f>
        <v>0</v>
      </c>
      <c r="AL32" s="23" t="n">
        <f aca="false">IF(36&gt;=Hypothèses!$B$47,Hypothèses!$E$47,0)</f>
        <v>0</v>
      </c>
      <c r="AM32" s="23" t="n">
        <f aca="false">IF(37&gt;=Hypothèses!$B$47,Hypothèses!$E$47,0)</f>
        <v>0</v>
      </c>
      <c r="AN32" s="23" t="n">
        <f aca="false">IF(38&gt;=Hypothèses!$B$47,Hypothèses!$E$47,0)</f>
        <v>0</v>
      </c>
    </row>
    <row r="33" customFormat="false" ht="15" hidden="false" customHeight="false" outlineLevel="0" collapsed="false">
      <c r="A33" s="12" t="s">
        <v>168</v>
      </c>
      <c r="C33" s="22" t="n">
        <f aca="false">SUM(C26:C32)</f>
        <v>0</v>
      </c>
      <c r="D33" s="22" t="n">
        <f aca="false">SUM(D26:D32)</f>
        <v>0</v>
      </c>
      <c r="E33" s="22" t="n">
        <f aca="false">SUM(E26:E32)</f>
        <v>4600</v>
      </c>
      <c r="F33" s="22" t="n">
        <f aca="false">SUM(F26:F32)</f>
        <v>4600</v>
      </c>
      <c r="G33" s="22" t="n">
        <f aca="false">SUM(G26:G32)</f>
        <v>4600</v>
      </c>
      <c r="H33" s="22" t="n">
        <f aca="false">SUM(H26:H32)</f>
        <v>4600</v>
      </c>
      <c r="I33" s="22" t="n">
        <f aca="false">SUM(I26:I32)</f>
        <v>4600</v>
      </c>
      <c r="J33" s="22" t="n">
        <f aca="false">SUM(J26:J32)</f>
        <v>4600</v>
      </c>
      <c r="K33" s="22" t="n">
        <f aca="false">SUM(K26:K32)</f>
        <v>4600</v>
      </c>
      <c r="L33" s="22" t="n">
        <f aca="false">SUM(L26:L32)</f>
        <v>4600</v>
      </c>
      <c r="M33" s="22" t="n">
        <f aca="false">SUM(M26:M32)</f>
        <v>9450</v>
      </c>
      <c r="N33" s="22" t="n">
        <f aca="false">SUM(N26:N32)</f>
        <v>9450</v>
      </c>
      <c r="O33" s="22" t="n">
        <f aca="false">SUM(O26:O32)</f>
        <v>9450</v>
      </c>
      <c r="P33" s="22" t="n">
        <f aca="false">SUM(P26:P32)</f>
        <v>9450</v>
      </c>
      <c r="Q33" s="22" t="n">
        <f aca="false">SUM(Q26:Q32)</f>
        <v>12150</v>
      </c>
      <c r="R33" s="22" t="n">
        <f aca="false">SUM(R26:R32)</f>
        <v>12150</v>
      </c>
      <c r="S33" s="22" t="n">
        <f aca="false">SUM(S26:S32)</f>
        <v>12150</v>
      </c>
      <c r="T33" s="22" t="n">
        <f aca="false">SUM(T26:T32)</f>
        <v>12150</v>
      </c>
      <c r="U33" s="22" t="n">
        <f aca="false">SUM(U26:U32)</f>
        <v>12150</v>
      </c>
      <c r="V33" s="22" t="n">
        <f aca="false">SUM(V26:V32)</f>
        <v>12150</v>
      </c>
      <c r="W33" s="22" t="n">
        <f aca="false">SUM(W26:W32)</f>
        <v>12150</v>
      </c>
      <c r="X33" s="22" t="n">
        <f aca="false">SUM(X26:X32)</f>
        <v>12150</v>
      </c>
      <c r="Y33" s="22" t="n">
        <f aca="false">SUM(Y26:Y32)</f>
        <v>12150</v>
      </c>
      <c r="Z33" s="22" t="n">
        <f aca="false">SUM(Z26:Z32)</f>
        <v>12150</v>
      </c>
      <c r="AA33" s="22" t="n">
        <f aca="false">SUM(AA26:AA32)</f>
        <v>12150</v>
      </c>
      <c r="AB33" s="22" t="n">
        <f aca="false">SUM(AB26:AB32)</f>
        <v>12150</v>
      </c>
      <c r="AC33" s="22" t="n">
        <f aca="false">SUM(AC26:AC32)</f>
        <v>14250</v>
      </c>
      <c r="AD33" s="22" t="n">
        <f aca="false">SUM(AD26:AD32)</f>
        <v>14250</v>
      </c>
      <c r="AE33" s="22" t="n">
        <f aca="false">SUM(AE26:AE32)</f>
        <v>14250</v>
      </c>
      <c r="AF33" s="22" t="n">
        <f aca="false">SUM(AF26:AF32)</f>
        <v>14250</v>
      </c>
      <c r="AG33" s="22" t="n">
        <f aca="false">SUM(AG26:AG32)</f>
        <v>14250</v>
      </c>
      <c r="AH33" s="22" t="n">
        <f aca="false">SUM(AH26:AH32)</f>
        <v>14250</v>
      </c>
      <c r="AI33" s="22" t="n">
        <f aca="false">SUM(AI26:AI32)</f>
        <v>14250</v>
      </c>
      <c r="AJ33" s="22" t="n">
        <f aca="false">SUM(AJ26:AJ32)</f>
        <v>14250</v>
      </c>
      <c r="AK33" s="22" t="n">
        <f aca="false">SUM(AK26:AK32)</f>
        <v>14250</v>
      </c>
      <c r="AL33" s="22" t="n">
        <f aca="false">SUM(AL26:AL32)</f>
        <v>14250</v>
      </c>
      <c r="AM33" s="22" t="n">
        <f aca="false">SUM(AM26:AM32)</f>
        <v>14250</v>
      </c>
      <c r="AN33" s="22" t="n">
        <f aca="false">SUM(AN26:AN32)</f>
        <v>14250</v>
      </c>
    </row>
    <row r="34" customFormat="false" ht="15" hidden="false" customHeight="false" outlineLevel="0" collapsed="false">
      <c r="A34" s="3" t="s">
        <v>169</v>
      </c>
      <c r="C34" s="23" t="s">
        <v>153</v>
      </c>
      <c r="D34" s="23" t="n">
        <f aca="false">Hypothèses!$B$64</f>
        <v>5000</v>
      </c>
      <c r="E34" s="23" t="n">
        <f aca="false">Hypothèses!$B$64</f>
        <v>5000</v>
      </c>
      <c r="F34" s="23" t="n">
        <f aca="false">Hypothèses!$B$64</f>
        <v>5000</v>
      </c>
      <c r="G34" s="23" t="n">
        <f aca="false">Hypothèses!$B$64</f>
        <v>5000</v>
      </c>
      <c r="H34" s="23" t="n">
        <f aca="false">Hypothèses!$B$64</f>
        <v>5000</v>
      </c>
      <c r="I34" s="23" t="n">
        <f aca="false">Hypothèses!$B$65</f>
        <v>800</v>
      </c>
      <c r="J34" s="23" t="n">
        <f aca="false">Hypothèses!$B$65</f>
        <v>800</v>
      </c>
      <c r="K34" s="23" t="n">
        <f aca="false">Hypothèses!$B$65</f>
        <v>800</v>
      </c>
      <c r="L34" s="23" t="n">
        <f aca="false">Hypothèses!$B$65</f>
        <v>800</v>
      </c>
      <c r="M34" s="23" t="n">
        <f aca="false">Hypothèses!$B$65</f>
        <v>800</v>
      </c>
      <c r="N34" s="23" t="n">
        <f aca="false">Hypothèses!$B$65</f>
        <v>800</v>
      </c>
      <c r="O34" s="23" t="n">
        <f aca="false">Hypothèses!$B$65</f>
        <v>800</v>
      </c>
      <c r="P34" s="23" t="n">
        <f aca="false">Hypothèses!$B$65</f>
        <v>800</v>
      </c>
      <c r="Q34" s="23" t="s">
        <v>153</v>
      </c>
      <c r="R34" s="23" t="s">
        <v>153</v>
      </c>
      <c r="S34" s="23" t="s">
        <v>153</v>
      </c>
      <c r="T34" s="23" t="s">
        <v>153</v>
      </c>
      <c r="U34" s="23" t="s">
        <v>153</v>
      </c>
      <c r="V34" s="23" t="s">
        <v>153</v>
      </c>
      <c r="W34" s="23" t="s">
        <v>153</v>
      </c>
      <c r="X34" s="23" t="s">
        <v>153</v>
      </c>
      <c r="Y34" s="23" t="s">
        <v>153</v>
      </c>
      <c r="Z34" s="23" t="s">
        <v>153</v>
      </c>
      <c r="AA34" s="23" t="s">
        <v>153</v>
      </c>
      <c r="AB34" s="23" t="s">
        <v>153</v>
      </c>
      <c r="AC34" s="23" t="s">
        <v>153</v>
      </c>
      <c r="AD34" s="23" t="s">
        <v>153</v>
      </c>
      <c r="AE34" s="23" t="s">
        <v>153</v>
      </c>
      <c r="AF34" s="23" t="s">
        <v>153</v>
      </c>
      <c r="AG34" s="23" t="s">
        <v>153</v>
      </c>
      <c r="AH34" s="23" t="s">
        <v>153</v>
      </c>
      <c r="AI34" s="23" t="s">
        <v>153</v>
      </c>
      <c r="AJ34" s="23" t="s">
        <v>153</v>
      </c>
      <c r="AK34" s="23" t="s">
        <v>153</v>
      </c>
      <c r="AL34" s="23" t="s">
        <v>153</v>
      </c>
      <c r="AM34" s="23" t="s">
        <v>153</v>
      </c>
      <c r="AN34" s="23" t="s">
        <v>153</v>
      </c>
    </row>
    <row r="35" customFormat="false" ht="15" hidden="false" customHeight="false" outlineLevel="0" collapsed="false">
      <c r="A35" s="3" t="s">
        <v>170</v>
      </c>
      <c r="C35" s="23" t="s">
        <v>153</v>
      </c>
      <c r="D35" s="23" t="s">
        <v>153</v>
      </c>
      <c r="E35" s="23" t="n">
        <f aca="false">Hypothèses!$C$52</f>
        <v>250</v>
      </c>
      <c r="F35" s="23" t="n">
        <f aca="false">Hypothèses!$C$52</f>
        <v>250</v>
      </c>
      <c r="G35" s="23" t="n">
        <f aca="false">Hypothèses!$C$52</f>
        <v>250</v>
      </c>
      <c r="H35" s="23" t="n">
        <f aca="false">Hypothèses!$C$52</f>
        <v>250</v>
      </c>
      <c r="I35" s="23" t="n">
        <f aca="false">Hypothèses!$C$52</f>
        <v>250</v>
      </c>
      <c r="J35" s="23" t="n">
        <f aca="false">Hypothèses!$C$52</f>
        <v>250</v>
      </c>
      <c r="K35" s="23" t="n">
        <f aca="false">Hypothèses!$C$52</f>
        <v>250</v>
      </c>
      <c r="L35" s="23" t="n">
        <f aca="false">Hypothèses!$C$52</f>
        <v>250</v>
      </c>
      <c r="M35" s="23" t="n">
        <f aca="false">Hypothèses!$C$52</f>
        <v>250</v>
      </c>
      <c r="N35" s="23" t="n">
        <f aca="false">Hypothèses!$C$52</f>
        <v>250</v>
      </c>
      <c r="O35" s="23" t="n">
        <f aca="false">Hypothèses!$C$52</f>
        <v>250</v>
      </c>
      <c r="P35" s="23" t="n">
        <f aca="false">Hypothèses!$C$52</f>
        <v>250</v>
      </c>
      <c r="Q35" s="23" t="n">
        <f aca="false">Hypothèses!$D$52</f>
        <v>400</v>
      </c>
      <c r="R35" s="23" t="n">
        <f aca="false">Hypothèses!$D$52</f>
        <v>400</v>
      </c>
      <c r="S35" s="23" t="n">
        <f aca="false">Hypothèses!$D$52</f>
        <v>400</v>
      </c>
      <c r="T35" s="23" t="n">
        <f aca="false">Hypothèses!$D$52</f>
        <v>400</v>
      </c>
      <c r="U35" s="23" t="n">
        <f aca="false">Hypothèses!$D$52</f>
        <v>400</v>
      </c>
      <c r="V35" s="23" t="n">
        <f aca="false">Hypothèses!$D$52</f>
        <v>400</v>
      </c>
      <c r="W35" s="23" t="n">
        <f aca="false">Hypothèses!$D$52</f>
        <v>400</v>
      </c>
      <c r="X35" s="23" t="n">
        <f aca="false">Hypothèses!$D$52</f>
        <v>400</v>
      </c>
      <c r="Y35" s="23" t="n">
        <f aca="false">Hypothèses!$D$52</f>
        <v>400</v>
      </c>
      <c r="Z35" s="23" t="n">
        <f aca="false">Hypothèses!$D$52</f>
        <v>400</v>
      </c>
      <c r="AA35" s="23" t="n">
        <f aca="false">Hypothèses!$D$52</f>
        <v>400</v>
      </c>
      <c r="AB35" s="23" t="n">
        <f aca="false">Hypothèses!$D$52</f>
        <v>400</v>
      </c>
      <c r="AC35" s="23" t="n">
        <f aca="false">Hypothèses!$E$52</f>
        <v>600</v>
      </c>
      <c r="AD35" s="23" t="n">
        <f aca="false">Hypothèses!$E$52</f>
        <v>600</v>
      </c>
      <c r="AE35" s="23" t="n">
        <f aca="false">Hypothèses!$E$52</f>
        <v>600</v>
      </c>
      <c r="AF35" s="23" t="n">
        <f aca="false">Hypothèses!$E$52</f>
        <v>600</v>
      </c>
      <c r="AG35" s="23" t="n">
        <f aca="false">Hypothèses!$E$52</f>
        <v>600</v>
      </c>
      <c r="AH35" s="23" t="n">
        <f aca="false">Hypothèses!$E$52</f>
        <v>600</v>
      </c>
      <c r="AI35" s="23" t="n">
        <f aca="false">Hypothèses!$E$52</f>
        <v>600</v>
      </c>
      <c r="AJ35" s="23" t="n">
        <f aca="false">Hypothèses!$E$52</f>
        <v>600</v>
      </c>
      <c r="AK35" s="23" t="n">
        <f aca="false">Hypothèses!$E$52</f>
        <v>600</v>
      </c>
      <c r="AL35" s="23" t="n">
        <f aca="false">Hypothèses!$E$52</f>
        <v>600</v>
      </c>
      <c r="AM35" s="23" t="n">
        <f aca="false">Hypothèses!$E$52</f>
        <v>600</v>
      </c>
      <c r="AN35" s="23" t="n">
        <f aca="false">Hypothèses!$E$52</f>
        <v>600</v>
      </c>
    </row>
    <row r="36" customFormat="false" ht="15" hidden="false" customHeight="false" outlineLevel="0" collapsed="false">
      <c r="A36" s="3" t="s">
        <v>171</v>
      </c>
      <c r="C36" s="23" t="s">
        <v>153</v>
      </c>
      <c r="D36" s="23" t="s">
        <v>153</v>
      </c>
      <c r="E36" s="23" t="n">
        <f aca="false">Hypothèses!$C$54+Hypothèses!$C$55+E7*Hypothèses!$B$63*Hypothèses!$B$62</f>
        <v>1000</v>
      </c>
      <c r="F36" s="23" t="n">
        <f aca="false">Hypothèses!$C$54+Hypothèses!$C$55+Hypothèses!$C$56+F7*Hypothèses!$B$63*Hypothèses!$B$62</f>
        <v>4000</v>
      </c>
      <c r="G36" s="23" t="n">
        <f aca="false">Hypothèses!$C$54+Hypothèses!$C$55+G7*Hypothèses!$B$63*Hypothèses!$B$62</f>
        <v>1052.5</v>
      </c>
      <c r="H36" s="23" t="n">
        <f aca="false">Hypothèses!$C$54+Hypothèses!$C$55+H7*Hypothèses!$B$63*Hypothèses!$B$62</f>
        <v>1082.5</v>
      </c>
      <c r="I36" s="23" t="n">
        <f aca="false">Hypothèses!$C$54+Hypothèses!$C$55+I7*Hypothèses!$B$63*Hypothèses!$B$62</f>
        <v>1082.5</v>
      </c>
      <c r="J36" s="23" t="n">
        <f aca="false">Hypothèses!$C$54+Hypothèses!$C$55+Hypothèses!$C$57+J7*Hypothèses!$B$63*Hypothèses!$B$62</f>
        <v>1052.5</v>
      </c>
      <c r="K36" s="23" t="n">
        <f aca="false">Hypothèses!$C$54+Hypothèses!$C$55+K7*Hypothèses!$B$63*Hypothèses!$B$62</f>
        <v>1030</v>
      </c>
      <c r="L36" s="23" t="n">
        <f aca="false">Hypothèses!$C$54+Hypothèses!$C$55+L7*Hypothèses!$B$63*Hypothèses!$B$62</f>
        <v>1015</v>
      </c>
      <c r="M36" s="23" t="n">
        <f aca="false">Hypothèses!$C$54+Hypothèses!$C$55+M7*Hypothèses!$B$63*Hypothèses!$B$62</f>
        <v>1067.5</v>
      </c>
      <c r="N36" s="23" t="n">
        <f aca="false">Hypothèses!$C$54+Hypothèses!$C$55+N7*Hypothèses!$B$63*Hypothèses!$B$62</f>
        <v>1097.5</v>
      </c>
      <c r="O36" s="23" t="n">
        <f aca="false">Hypothèses!$C$54+Hypothèses!$C$55+Hypothèses!$C$58+O7*Hypothèses!$B$63*Hypothèses!$B$62</f>
        <v>3135</v>
      </c>
      <c r="P36" s="23" t="n">
        <f aca="false">Hypothèses!$C$54+Hypothèses!$C$55+P7*Hypothèses!$B$63*Hypothèses!$B$62</f>
        <v>1135</v>
      </c>
      <c r="Q36" s="23" t="n">
        <f aca="false">Hypothèses!$D$54+Hypothèses!$D$55+Q7*Hypothèses!$B$63*Hypothèses!$B$62</f>
        <v>2440</v>
      </c>
      <c r="R36" s="23" t="n">
        <f aca="false">Hypothèses!$D$54+Hypothèses!$D$55+Hypothèses!$D$56+R7*Hypothèses!$B$63*Hypothèses!$B$62</f>
        <v>8488</v>
      </c>
      <c r="S36" s="23" t="n">
        <f aca="false">Hypothèses!$D$54+Hypothèses!$D$55+S7*Hypothèses!$B$63*Hypothèses!$B$62</f>
        <v>2536</v>
      </c>
      <c r="T36" s="23" t="n">
        <f aca="false">Hypothèses!$D$54+Hypothèses!$D$55+T7*Hypothèses!$B$63*Hypothèses!$B$62</f>
        <v>2512</v>
      </c>
      <c r="U36" s="23" t="n">
        <f aca="false">Hypothèses!$D$54+Hypothèses!$D$55+U7*Hypothèses!$B$63*Hypothèses!$B$62</f>
        <v>2392</v>
      </c>
      <c r="V36" s="23" t="n">
        <f aca="false">Hypothèses!$D$54+Hypothèses!$D$55+Hypothèses!$D$57+V7*Hypothèses!$B$63*Hypothèses!$B$62</f>
        <v>5320</v>
      </c>
      <c r="W36" s="23" t="n">
        <f aca="false">Hypothèses!$D$54+Hypothèses!$D$55+W7*Hypothèses!$B$63*Hypothèses!$B$62</f>
        <v>2272</v>
      </c>
      <c r="X36" s="23" t="n">
        <f aca="false">Hypothèses!$D$54+Hypothèses!$D$55+X7*Hypothèses!$B$63*Hypothèses!$B$62</f>
        <v>2248</v>
      </c>
      <c r="Y36" s="23" t="n">
        <f aca="false">Hypothèses!$D$54+Hypothèses!$D$55+Y7*Hypothèses!$B$63*Hypothèses!$B$62</f>
        <v>2320</v>
      </c>
      <c r="Z36" s="23" t="n">
        <f aca="false">Hypothèses!$D$54+Hypothèses!$D$55+Z7*Hypothèses!$B$63*Hypothèses!$B$62</f>
        <v>2392</v>
      </c>
      <c r="AA36" s="23" t="n">
        <f aca="false">Hypothèses!$D$54+Hypothèses!$D$55+Hypothèses!$D$58+AA7*Hypothèses!$B$63*Hypothèses!$B$62</f>
        <v>8440</v>
      </c>
      <c r="AB36" s="23" t="n">
        <f aca="false">Hypothèses!$D$54+Hypothèses!$D$55+AB7*Hypothèses!$B$63*Hypothèses!$B$62</f>
        <v>2440</v>
      </c>
      <c r="AC36" s="23" t="n">
        <f aca="false">Hypothèses!$E$54+Hypothèses!$E$55+AC7*Hypothèses!$B$63*Hypothèses!$B$62</f>
        <v>4090</v>
      </c>
      <c r="AD36" s="23" t="n">
        <f aca="false">Hypothèses!$E$54+Hypothèses!$E$55+Hypothèses!$E$56+AD7*Hypothèses!$B$63*Hypothèses!$B$62</f>
        <v>14168</v>
      </c>
      <c r="AE36" s="23" t="n">
        <f aca="false">Hypothèses!$E$54+Hypothèses!$E$55+AE7*Hypothèses!$B$63*Hypothèses!$B$62</f>
        <v>4246</v>
      </c>
      <c r="AF36" s="23" t="n">
        <f aca="false">Hypothèses!$E$54+Hypothèses!$E$55+AF7*Hypothèses!$B$63*Hypothèses!$B$62</f>
        <v>4207</v>
      </c>
      <c r="AG36" s="23" t="n">
        <f aca="false">Hypothèses!$E$54+Hypothèses!$E$55+AG7*Hypothèses!$B$63*Hypothèses!$B$62</f>
        <v>4012</v>
      </c>
      <c r="AH36" s="23" t="n">
        <f aca="false">Hypothèses!$E$54+Hypothèses!$E$55+Hypothèses!$E$57+AH7*Hypothèses!$B$63*Hypothèses!$B$62</f>
        <v>8895</v>
      </c>
      <c r="AI36" s="23" t="n">
        <f aca="false">Hypothèses!$E$54+Hypothèses!$E$55+AI7*Hypothèses!$B$63*Hypothèses!$B$62</f>
        <v>3817</v>
      </c>
      <c r="AJ36" s="23" t="n">
        <f aca="false">Hypothèses!$E$54+Hypothèses!$E$55+AJ7*Hypothèses!$B$63*Hypothèses!$B$62</f>
        <v>3778</v>
      </c>
      <c r="AK36" s="23" t="n">
        <f aca="false">Hypothèses!$E$54+Hypothèses!$E$55+AK7*Hypothèses!$B$63*Hypothèses!$B$62</f>
        <v>3895</v>
      </c>
      <c r="AL36" s="23" t="n">
        <f aca="false">Hypothèses!$E$54+Hypothèses!$E$55+AL7*Hypothèses!$B$63*Hypothèses!$B$62</f>
        <v>4012</v>
      </c>
      <c r="AM36" s="23" t="n">
        <f aca="false">Hypothèses!$E$54+Hypothèses!$E$55+Hypothèses!$E$58+AM7*Hypothèses!$B$63*Hypothèses!$B$62</f>
        <v>14090</v>
      </c>
      <c r="AN36" s="23" t="n">
        <f aca="false">Hypothèses!$E$54+Hypothèses!$E$55+AN7*Hypothèses!$B$63*Hypothèses!$B$62</f>
        <v>4090</v>
      </c>
    </row>
    <row r="37" customFormat="false" ht="15" hidden="false" customHeight="false" outlineLevel="0" collapsed="false">
      <c r="A37" s="3" t="s">
        <v>172</v>
      </c>
      <c r="C37" s="23" t="n">
        <f aca="false">Hypothèses!$B$66</f>
        <v>5500</v>
      </c>
      <c r="D37" s="23" t="n">
        <f aca="false">Hypothèses!$B$67</f>
        <v>2500</v>
      </c>
      <c r="E37" s="23" t="n">
        <f aca="false">Hypothèses!$C$59+Hypothèses!$C$60+Hypothèses!$C$61</f>
        <v>750</v>
      </c>
      <c r="F37" s="23" t="n">
        <f aca="false">Hypothèses!$C$59+Hypothèses!$C$60</f>
        <v>750</v>
      </c>
      <c r="G37" s="23" t="n">
        <f aca="false">Hypothèses!$C$59+Hypothèses!$C$60</f>
        <v>750</v>
      </c>
      <c r="H37" s="23" t="n">
        <f aca="false">Hypothèses!$C$59+Hypothèses!$C$60</f>
        <v>750</v>
      </c>
      <c r="I37" s="23" t="n">
        <f aca="false">Hypothèses!$C$59+Hypothèses!$C$60</f>
        <v>750</v>
      </c>
      <c r="J37" s="23" t="n">
        <f aca="false">Hypothèses!$C$59+Hypothèses!$C$60</f>
        <v>750</v>
      </c>
      <c r="K37" s="23" t="n">
        <f aca="false">Hypothèses!$C$59+Hypothèses!$C$60</f>
        <v>750</v>
      </c>
      <c r="L37" s="23" t="n">
        <f aca="false">Hypothèses!$C$59+Hypothèses!$C$60</f>
        <v>750</v>
      </c>
      <c r="M37" s="23" t="n">
        <f aca="false">Hypothèses!$C$59+Hypothèses!$C$60</f>
        <v>750</v>
      </c>
      <c r="N37" s="23" t="n">
        <f aca="false">Hypothèses!$C$59+Hypothèses!$C$60</f>
        <v>750</v>
      </c>
      <c r="O37" s="23" t="n">
        <f aca="false">Hypothèses!$C$59+Hypothèses!$C$60</f>
        <v>750</v>
      </c>
      <c r="P37" s="23" t="n">
        <f aca="false">Hypothèses!$C$59+Hypothèses!$C$60</f>
        <v>750</v>
      </c>
      <c r="Q37" s="23" t="n">
        <f aca="false">Hypothèses!$D$59+Hypothèses!$D$60+Hypothèses!$D$61</f>
        <v>3300</v>
      </c>
      <c r="R37" s="23" t="n">
        <f aca="false">Hypothèses!$D$59+Hypothèses!$D$60</f>
        <v>1300</v>
      </c>
      <c r="S37" s="23" t="n">
        <f aca="false">Hypothèses!$D$59+Hypothèses!$D$60</f>
        <v>1300</v>
      </c>
      <c r="T37" s="23" t="n">
        <f aca="false">Hypothèses!$D$59+Hypothèses!$D$60</f>
        <v>1300</v>
      </c>
      <c r="U37" s="23" t="n">
        <f aca="false">Hypothèses!$D$59+Hypothèses!$D$60</f>
        <v>1300</v>
      </c>
      <c r="V37" s="23" t="n">
        <f aca="false">Hypothèses!$D$59+Hypothèses!$D$60</f>
        <v>1300</v>
      </c>
      <c r="W37" s="23" t="n">
        <f aca="false">Hypothèses!$D$59+Hypothèses!$D$60</f>
        <v>1300</v>
      </c>
      <c r="X37" s="23" t="n">
        <f aca="false">Hypothèses!$D$59+Hypothèses!$D$60</f>
        <v>1300</v>
      </c>
      <c r="Y37" s="23" t="n">
        <f aca="false">Hypothèses!$D$59+Hypothèses!$D$60</f>
        <v>1300</v>
      </c>
      <c r="Z37" s="23" t="n">
        <f aca="false">Hypothèses!$D$59+Hypothèses!$D$60</f>
        <v>1300</v>
      </c>
      <c r="AA37" s="23" t="n">
        <f aca="false">Hypothèses!$D$59+Hypothèses!$D$60</f>
        <v>1300</v>
      </c>
      <c r="AB37" s="23" t="n">
        <f aca="false">Hypothèses!$D$59+Hypothèses!$D$60</f>
        <v>1300</v>
      </c>
      <c r="AC37" s="23" t="n">
        <f aca="false">Hypothèses!$E$59+Hypothèses!$E$60+Hypothèses!$E$61</f>
        <v>4500</v>
      </c>
      <c r="AD37" s="23" t="n">
        <f aca="false">Hypothèses!$E$59+Hypothèses!$E$60</f>
        <v>2000</v>
      </c>
      <c r="AE37" s="23" t="n">
        <f aca="false">Hypothèses!$E$59+Hypothèses!$E$60</f>
        <v>2000</v>
      </c>
      <c r="AF37" s="23" t="n">
        <f aca="false">Hypothèses!$E$59+Hypothèses!$E$60</f>
        <v>2000</v>
      </c>
      <c r="AG37" s="23" t="n">
        <f aca="false">Hypothèses!$E$59+Hypothèses!$E$60</f>
        <v>2000</v>
      </c>
      <c r="AH37" s="23" t="n">
        <f aca="false">Hypothèses!$E$59+Hypothèses!$E$60</f>
        <v>2000</v>
      </c>
      <c r="AI37" s="23" t="n">
        <f aca="false">Hypothèses!$E$59+Hypothèses!$E$60</f>
        <v>2000</v>
      </c>
      <c r="AJ37" s="23" t="n">
        <f aca="false">Hypothèses!$E$59+Hypothèses!$E$60</f>
        <v>2000</v>
      </c>
      <c r="AK37" s="23" t="n">
        <f aca="false">Hypothèses!$E$59+Hypothèses!$E$60</f>
        <v>2000</v>
      </c>
      <c r="AL37" s="23" t="n">
        <f aca="false">Hypothèses!$E$59+Hypothèses!$E$60</f>
        <v>2000</v>
      </c>
      <c r="AM37" s="23" t="n">
        <f aca="false">Hypothèses!$E$59+Hypothèses!$E$60</f>
        <v>2000</v>
      </c>
      <c r="AN37" s="23" t="n">
        <f aca="false">Hypothèses!$E$59+Hypothèses!$E$60</f>
        <v>2000</v>
      </c>
    </row>
    <row r="38" customFormat="false" ht="15" hidden="false" customHeight="false" outlineLevel="0" collapsed="false">
      <c r="A38" s="12" t="s">
        <v>173</v>
      </c>
      <c r="C38" s="22" t="n">
        <f aca="false">C33+C34+C35+C36+C37</f>
        <v>5500</v>
      </c>
      <c r="D38" s="22" t="n">
        <f aca="false">D33+D34+D35+D36+D37</f>
        <v>7500</v>
      </c>
      <c r="E38" s="22" t="n">
        <f aca="false">E33+E34+E35+E36+E37</f>
        <v>11600</v>
      </c>
      <c r="F38" s="22" t="n">
        <f aca="false">F33+F34+F35+F36+F37</f>
        <v>14600</v>
      </c>
      <c r="G38" s="22" t="n">
        <f aca="false">G33+G34+G35+G36+G37</f>
        <v>11652.5</v>
      </c>
      <c r="H38" s="22" t="n">
        <f aca="false">H33+H34+H35+H36+H37</f>
        <v>11682.5</v>
      </c>
      <c r="I38" s="22" t="n">
        <f aca="false">I33+I34+I35+I36+I37</f>
        <v>7482.5</v>
      </c>
      <c r="J38" s="22" t="n">
        <f aca="false">J33+J34+J35+J36+J37</f>
        <v>7452.5</v>
      </c>
      <c r="K38" s="22" t="n">
        <f aca="false">K33+K34+K35+K36+K37</f>
        <v>7430</v>
      </c>
      <c r="L38" s="22" t="n">
        <f aca="false">L33+L34+L35+L36+L37</f>
        <v>7415</v>
      </c>
      <c r="M38" s="22" t="n">
        <f aca="false">M33+M34+M35+M36+M37</f>
        <v>12317.5</v>
      </c>
      <c r="N38" s="22" t="n">
        <f aca="false">N33+N34+N35+N36+N37</f>
        <v>12347.5</v>
      </c>
      <c r="O38" s="22" t="n">
        <f aca="false">O33+O34+O35+O36+O37</f>
        <v>14385</v>
      </c>
      <c r="P38" s="22" t="n">
        <f aca="false">P33+P34+P35+P36+P37</f>
        <v>12385</v>
      </c>
      <c r="Q38" s="22" t="n">
        <f aca="false">Q33+Q34+Q35+Q36+Q37</f>
        <v>18290</v>
      </c>
      <c r="R38" s="22" t="n">
        <f aca="false">R33+R34+R35+R36+R37</f>
        <v>22338</v>
      </c>
      <c r="S38" s="22" t="n">
        <f aca="false">S33+S34+S35+S36+S37</f>
        <v>16386</v>
      </c>
      <c r="T38" s="22" t="n">
        <f aca="false">T33+T34+T35+T36+T37</f>
        <v>16362</v>
      </c>
      <c r="U38" s="22" t="n">
        <f aca="false">U33+U34+U35+U36+U37</f>
        <v>16242</v>
      </c>
      <c r="V38" s="22" t="n">
        <f aca="false">V33+V34+V35+V36+V37</f>
        <v>19170</v>
      </c>
      <c r="W38" s="22" t="n">
        <f aca="false">W33+W34+W35+W36+W37</f>
        <v>16122</v>
      </c>
      <c r="X38" s="22" t="n">
        <f aca="false">X33+X34+X35+X36+X37</f>
        <v>16098</v>
      </c>
      <c r="Y38" s="22" t="n">
        <f aca="false">Y33+Y34+Y35+Y36+Y37</f>
        <v>16170</v>
      </c>
      <c r="Z38" s="22" t="n">
        <f aca="false">Z33+Z34+Z35+Z36+Z37</f>
        <v>16242</v>
      </c>
      <c r="AA38" s="22" t="n">
        <f aca="false">AA33+AA34+AA35+AA36+AA37</f>
        <v>22290</v>
      </c>
      <c r="AB38" s="22" t="n">
        <f aca="false">AB33+AB34+AB35+AB36+AB37</f>
        <v>16290</v>
      </c>
      <c r="AC38" s="22" t="n">
        <f aca="false">AC33+AC34+AC35+AC36+AC37</f>
        <v>23440</v>
      </c>
      <c r="AD38" s="22" t="n">
        <f aca="false">AD33+AD34+AD35+AD36+AD37</f>
        <v>31018</v>
      </c>
      <c r="AE38" s="22" t="n">
        <f aca="false">AE33+AE34+AE35+AE36+AE37</f>
        <v>21096</v>
      </c>
      <c r="AF38" s="22" t="n">
        <f aca="false">AF33+AF34+AF35+AF36+AF37</f>
        <v>21057</v>
      </c>
      <c r="AG38" s="22" t="n">
        <f aca="false">AG33+AG34+AG35+AG36+AG37</f>
        <v>20862</v>
      </c>
      <c r="AH38" s="22" t="n">
        <f aca="false">AH33+AH34+AH35+AH36+AH37</f>
        <v>25745</v>
      </c>
      <c r="AI38" s="22" t="n">
        <f aca="false">AI33+AI34+AI35+AI36+AI37</f>
        <v>20667</v>
      </c>
      <c r="AJ38" s="22" t="n">
        <f aca="false">AJ33+AJ34+AJ35+AJ36+AJ37</f>
        <v>20628</v>
      </c>
      <c r="AK38" s="22" t="n">
        <f aca="false">AK33+AK34+AK35+AK36+AK37</f>
        <v>20745</v>
      </c>
      <c r="AL38" s="22" t="n">
        <f aca="false">AL33+AL34+AL35+AL36+AL37</f>
        <v>20862</v>
      </c>
      <c r="AM38" s="22" t="n">
        <f aca="false">AM33+AM34+AM35+AM36+AM37</f>
        <v>30940</v>
      </c>
      <c r="AN38" s="22" t="n">
        <f aca="false">AN33+AN34+AN35+AN36+AN37</f>
        <v>20940</v>
      </c>
    </row>
    <row r="39" customFormat="false" ht="15" hidden="false" customHeight="false" outlineLevel="0" collapsed="false">
      <c r="A39" s="24" t="s">
        <v>174</v>
      </c>
      <c r="C39" s="25" t="n">
        <f aca="false">C24-C38</f>
        <v>-5500</v>
      </c>
      <c r="D39" s="25" t="n">
        <f aca="false">D24-D38</f>
        <v>-7500</v>
      </c>
      <c r="E39" s="25" t="n">
        <f aca="false">E24-E38</f>
        <v>-11600</v>
      </c>
      <c r="F39" s="25" t="n">
        <f aca="false">F24-F38</f>
        <v>-14600</v>
      </c>
      <c r="G39" s="25" t="n">
        <f aca="false">G24-G38</f>
        <v>-11500.25</v>
      </c>
      <c r="H39" s="25" t="n">
        <f aca="false">H24-H38</f>
        <v>-11453.575</v>
      </c>
      <c r="I39" s="25" t="n">
        <f aca="false">I24-I38</f>
        <v>-7274.748125</v>
      </c>
      <c r="J39" s="25" t="n">
        <f aca="false">J24-J38</f>
        <v>-7152.323171875</v>
      </c>
      <c r="K39" s="25" t="n">
        <f aca="false">K24-K38</f>
        <v>-6898.20884257813</v>
      </c>
      <c r="L39" s="25" t="n">
        <f aca="false">L24-L38</f>
        <v>-6375.36612151367</v>
      </c>
      <c r="M39" s="25" t="n">
        <f aca="false">M24-M38</f>
        <v>-9996.78821847583</v>
      </c>
      <c r="N39" s="25" t="n">
        <f aca="false">N24-N38</f>
        <v>-9084.78101301393</v>
      </c>
      <c r="O39" s="25" t="n">
        <f aca="false">O24-O38</f>
        <v>-10042.8489876886</v>
      </c>
      <c r="P39" s="25" t="n">
        <f aca="false">P24-P38</f>
        <v>-7575.40276299637</v>
      </c>
      <c r="Q39" s="25" t="n">
        <f aca="false">Q24-Q38</f>
        <v>-10893.2372115153</v>
      </c>
      <c r="R39" s="25" t="n">
        <f aca="false">R24-R38</f>
        <v>-13134.1562812274</v>
      </c>
      <c r="S39" s="25" t="n">
        <f aca="false">S24-S38</f>
        <v>-5213.05237419671</v>
      </c>
      <c r="T39" s="25" t="n">
        <f aca="false">T24-T38</f>
        <v>-4495.97606484179</v>
      </c>
      <c r="U39" s="25" t="n">
        <f aca="false">U24-U38</f>
        <v>-5715.82666322075</v>
      </c>
      <c r="V39" s="25" t="n">
        <f aca="false">V24-V38</f>
        <v>-9512.18099664023</v>
      </c>
      <c r="W39" s="25" t="n">
        <f aca="false">W24-W38</f>
        <v>-7143.62647172422</v>
      </c>
      <c r="X39" s="25" t="n">
        <f aca="false">X24-X38</f>
        <v>-7511.28580993111</v>
      </c>
      <c r="Y39" s="25" t="n">
        <f aca="false">Y24-Y38</f>
        <v>-6156.75366468284</v>
      </c>
      <c r="Z39" s="25" t="n">
        <f aca="false">Z24-Z38</f>
        <v>-4527.08482306577</v>
      </c>
      <c r="AA39" s="25" t="n">
        <f aca="false">AA24-AA38</f>
        <v>-9083.15770248912</v>
      </c>
      <c r="AB39" s="25" t="n">
        <f aca="false">AB24-AB38</f>
        <v>-2377.3287599269</v>
      </c>
      <c r="AC39" s="25" t="n">
        <f aca="false">AC24-AC38</f>
        <v>-5755.06380085152</v>
      </c>
      <c r="AD39" s="25" t="n">
        <f aca="false">AD24-AD38</f>
        <v>-10522.5872058302</v>
      </c>
      <c r="AE39" s="25" t="n">
        <f aca="false">AE24-AE38</f>
        <v>2478.92747431553</v>
      </c>
      <c r="AF39" s="25" t="n">
        <f aca="false">AF24-AF38</f>
        <v>3525.60428745764</v>
      </c>
      <c r="AG39" s="25" t="n">
        <f aca="false">AG24-AG38</f>
        <v>1421.2391802712</v>
      </c>
      <c r="AH39" s="25" t="n">
        <f aca="false">AH24-AH38</f>
        <v>-4995.79179923558</v>
      </c>
      <c r="AI39" s="25" t="n">
        <f aca="false">AI24-AI38</f>
        <v>-1144.3720042547</v>
      </c>
      <c r="AJ39" s="25" t="n">
        <f aca="false">AJ24-AJ38</f>
        <v>-1862.53770414833</v>
      </c>
      <c r="AK39" s="25" t="n">
        <f aca="false">AK24-AK38</f>
        <v>224.775738455381</v>
      </c>
      <c r="AL39" s="25" t="n">
        <f aca="false">AL24-AL38</f>
        <v>2765.93134499399</v>
      </c>
      <c r="AM39" s="25" t="n">
        <f aca="false">AM24-AM38</f>
        <v>-4989.46693863086</v>
      </c>
      <c r="AN39" s="25" t="n">
        <f aca="false">AN24-AN38</f>
        <v>6058.26973483491</v>
      </c>
    </row>
    <row r="40" customFormat="false" ht="15" hidden="false" customHeight="false" outlineLevel="0" collapsed="false">
      <c r="A40" s="3" t="s">
        <v>175</v>
      </c>
      <c r="C40" s="23" t="n">
        <f aca="false">SUM(C39:C39)</f>
        <v>-5500</v>
      </c>
      <c r="D40" s="23" t="n">
        <f aca="false">SUM(C39:D39)</f>
        <v>-13000</v>
      </c>
      <c r="E40" s="23" t="n">
        <f aca="false">SUM(C39:E39)</f>
        <v>-24600</v>
      </c>
      <c r="F40" s="23" t="n">
        <f aca="false">SUM(D39:F39)</f>
        <v>-33700</v>
      </c>
      <c r="G40" s="23" t="n">
        <f aca="false">SUM(E39:G39)</f>
        <v>-37700.25</v>
      </c>
      <c r="H40" s="23" t="n">
        <f aca="false">SUM(F39:H39)</f>
        <v>-37553.825</v>
      </c>
      <c r="I40" s="23" t="n">
        <f aca="false">SUM(G39:I39)</f>
        <v>-30228.573125</v>
      </c>
      <c r="J40" s="23" t="n">
        <f aca="false">SUM(H39:J39)</f>
        <v>-25880.646296875</v>
      </c>
      <c r="K40" s="23" t="n">
        <f aca="false">SUM(I39:K39)</f>
        <v>-21325.2801394531</v>
      </c>
      <c r="L40" s="23" t="n">
        <f aca="false">SUM(J39:L39)</f>
        <v>-20425.8981359668</v>
      </c>
      <c r="M40" s="23" t="n">
        <f aca="false">SUM(K39:M39)</f>
        <v>-23270.3631825676</v>
      </c>
      <c r="N40" s="23" t="n">
        <f aca="false">SUM(L39:N39)</f>
        <v>-25456.9353530034</v>
      </c>
      <c r="O40" s="23" t="n">
        <f aca="false">SUM(M39:O39)</f>
        <v>-29124.4182191784</v>
      </c>
      <c r="P40" s="23" t="n">
        <f aca="false">SUM(N39:P39)</f>
        <v>-26703.0327636989</v>
      </c>
      <c r="Q40" s="23" t="n">
        <f aca="false">SUM(O39:Q39)</f>
        <v>-28511.4889622002</v>
      </c>
      <c r="R40" s="23" t="n">
        <f aca="false">SUM(P39:R39)</f>
        <v>-31602.796255739</v>
      </c>
      <c r="S40" s="23" t="n">
        <f aca="false">SUM(Q39:S39)</f>
        <v>-29240.4458669394</v>
      </c>
      <c r="T40" s="23" t="n">
        <f aca="false">SUM(R39:T39)</f>
        <v>-22843.1847202659</v>
      </c>
      <c r="U40" s="23" t="n">
        <f aca="false">SUM(S39:U39)</f>
        <v>-15424.8551022592</v>
      </c>
      <c r="V40" s="23" t="n">
        <f aca="false">SUM(T39:V39)</f>
        <v>-19723.9837247028</v>
      </c>
      <c r="W40" s="23" t="n">
        <f aca="false">SUM(U39:W39)</f>
        <v>-22371.6341315852</v>
      </c>
      <c r="X40" s="23" t="n">
        <f aca="false">SUM(V39:X39)</f>
        <v>-24167.0932782956</v>
      </c>
      <c r="Y40" s="23" t="n">
        <f aca="false">SUM(W39:Y39)</f>
        <v>-20811.6659463382</v>
      </c>
      <c r="Z40" s="23" t="n">
        <f aca="false">SUM(X39:Z39)</f>
        <v>-18195.1242976797</v>
      </c>
      <c r="AA40" s="23" t="n">
        <f aca="false">SUM(Y39:AA39)</f>
        <v>-19766.9961902377</v>
      </c>
      <c r="AB40" s="23" t="n">
        <f aca="false">SUM(Z39:AB39)</f>
        <v>-15987.5712854818</v>
      </c>
      <c r="AC40" s="23" t="n">
        <f aca="false">SUM(AA39:AC39)</f>
        <v>-17215.5502632675</v>
      </c>
      <c r="AD40" s="23" t="n">
        <f aca="false">SUM(AB39:AD39)</f>
        <v>-18654.9797666086</v>
      </c>
      <c r="AE40" s="23" t="n">
        <f aca="false">SUM(AC39:AE39)</f>
        <v>-13798.7235323662</v>
      </c>
      <c r="AF40" s="23" t="n">
        <f aca="false">SUM(AD39:AF39)</f>
        <v>-4518.05544405707</v>
      </c>
      <c r="AG40" s="23" t="n">
        <f aca="false">SUM(AE39:AG39)</f>
        <v>7425.77094204436</v>
      </c>
      <c r="AH40" s="23" t="n">
        <f aca="false">SUM(AF39:AH39)</f>
        <v>-48.9483315067446</v>
      </c>
      <c r="AI40" s="23" t="n">
        <f aca="false">SUM(AG39:AI39)</f>
        <v>-4718.92462321908</v>
      </c>
      <c r="AJ40" s="23" t="n">
        <f aca="false">SUM(AH39:AJ39)</f>
        <v>-8002.70150763861</v>
      </c>
      <c r="AK40" s="23" t="n">
        <f aca="false">SUM(AI39:AK39)</f>
        <v>-2782.13396994765</v>
      </c>
      <c r="AL40" s="23" t="n">
        <f aca="false">SUM(AJ39:AL39)</f>
        <v>1128.16937930105</v>
      </c>
      <c r="AM40" s="23" t="n">
        <f aca="false">SUM(AK39:AM39)</f>
        <v>-1998.75985518148</v>
      </c>
      <c r="AN40" s="23" t="n">
        <f aca="false">SUM(AL39:AN39)</f>
        <v>3834.73414119805</v>
      </c>
    </row>
    <row r="41" customFormat="false" ht="15" hidden="false" customHeight="false" outlineLevel="0" collapsed="false">
      <c r="A41" s="3" t="s">
        <v>176</v>
      </c>
      <c r="C41" s="26" t="n">
        <f aca="false">IF(COUNTIF(C40:$AN$40,"&lt;=0")=0,1,0)</f>
        <v>0</v>
      </c>
      <c r="D41" s="26" t="n">
        <f aca="false">IF(COUNTIF(D40:$AN$40,"&lt;=0")=0,1,0)</f>
        <v>0</v>
      </c>
      <c r="E41" s="26" t="n">
        <f aca="false">IF(COUNTIF(E40:$AN$40,"&lt;=0")=0,1,0)</f>
        <v>0</v>
      </c>
      <c r="F41" s="26" t="n">
        <f aca="false">IF(COUNTIF(F40:$AN$40,"&lt;=0")=0,1,0)</f>
        <v>0</v>
      </c>
      <c r="G41" s="26" t="n">
        <f aca="false">IF(COUNTIF(G40:$AN$40,"&lt;=0")=0,1,0)</f>
        <v>0</v>
      </c>
      <c r="H41" s="26" t="n">
        <f aca="false">IF(COUNTIF(H40:$AN$40,"&lt;=0")=0,1,0)</f>
        <v>0</v>
      </c>
      <c r="I41" s="26" t="n">
        <f aca="false">IF(COUNTIF(I40:$AN$40,"&lt;=0")=0,1,0)</f>
        <v>0</v>
      </c>
      <c r="J41" s="26" t="n">
        <f aca="false">IF(COUNTIF(J40:$AN$40,"&lt;=0")=0,1,0)</f>
        <v>0</v>
      </c>
      <c r="K41" s="26" t="n">
        <f aca="false">IF(COUNTIF(K40:$AN$40,"&lt;=0")=0,1,0)</f>
        <v>0</v>
      </c>
      <c r="L41" s="26" t="n">
        <f aca="false">IF(COUNTIF(L40:$AN$40,"&lt;=0")=0,1,0)</f>
        <v>0</v>
      </c>
      <c r="M41" s="26" t="n">
        <f aca="false">IF(COUNTIF(M40:$AN$40,"&lt;=0")=0,1,0)</f>
        <v>0</v>
      </c>
      <c r="N41" s="26" t="n">
        <f aca="false">IF(COUNTIF(N40:$AN$40,"&lt;=0")=0,1,0)</f>
        <v>0</v>
      </c>
      <c r="O41" s="26" t="n">
        <f aca="false">IF(COUNTIF(O40:$AN$40,"&lt;=0")=0,1,0)</f>
        <v>0</v>
      </c>
      <c r="P41" s="26" t="n">
        <f aca="false">IF(COUNTIF(P40:$AN$40,"&lt;=0")=0,1,0)</f>
        <v>0</v>
      </c>
      <c r="Q41" s="26" t="n">
        <f aca="false">IF(COUNTIF(Q40:$AN$40,"&lt;=0")=0,1,0)</f>
        <v>0</v>
      </c>
      <c r="R41" s="26" t="n">
        <f aca="false">IF(COUNTIF(R40:$AN$40,"&lt;=0")=0,1,0)</f>
        <v>0</v>
      </c>
      <c r="S41" s="26" t="n">
        <f aca="false">IF(COUNTIF(S40:$AN$40,"&lt;=0")=0,1,0)</f>
        <v>0</v>
      </c>
      <c r="T41" s="26" t="n">
        <f aca="false">IF(COUNTIF(T40:$AN$40,"&lt;=0")=0,1,0)</f>
        <v>0</v>
      </c>
      <c r="U41" s="26" t="n">
        <f aca="false">IF(COUNTIF(U40:$AN$40,"&lt;=0")=0,1,0)</f>
        <v>0</v>
      </c>
      <c r="V41" s="26" t="n">
        <f aca="false">IF(COUNTIF(V40:$AN$40,"&lt;=0")=0,1,0)</f>
        <v>0</v>
      </c>
      <c r="W41" s="26" t="n">
        <f aca="false">IF(COUNTIF(W40:$AN$40,"&lt;=0")=0,1,0)</f>
        <v>0</v>
      </c>
      <c r="X41" s="26" t="n">
        <f aca="false">IF(COUNTIF(X40:$AN$40,"&lt;=0")=0,1,0)</f>
        <v>0</v>
      </c>
      <c r="Y41" s="26" t="n">
        <f aca="false">IF(COUNTIF(Y40:$AN$40,"&lt;=0")=0,1,0)</f>
        <v>0</v>
      </c>
      <c r="Z41" s="26" t="n">
        <f aca="false">IF(COUNTIF(Z40:$AN$40,"&lt;=0")=0,1,0)</f>
        <v>0</v>
      </c>
      <c r="AA41" s="26" t="n">
        <f aca="false">IF(COUNTIF(AA40:$AN$40,"&lt;=0")=0,1,0)</f>
        <v>0</v>
      </c>
      <c r="AB41" s="26" t="n">
        <f aca="false">IF(COUNTIF(AB40:$AN$40,"&lt;=0")=0,1,0)</f>
        <v>0</v>
      </c>
      <c r="AC41" s="26" t="n">
        <f aca="false">IF(COUNTIF(AC40:$AN$40,"&lt;=0")=0,1,0)</f>
        <v>0</v>
      </c>
      <c r="AD41" s="26" t="n">
        <f aca="false">IF(COUNTIF(AD40:$AN$40,"&lt;=0")=0,1,0)</f>
        <v>0</v>
      </c>
      <c r="AE41" s="26" t="n">
        <f aca="false">IF(COUNTIF(AE40:$AN$40,"&lt;=0")=0,1,0)</f>
        <v>0</v>
      </c>
      <c r="AF41" s="26" t="n">
        <f aca="false">IF(COUNTIF(AF40:$AN$40,"&lt;=0")=0,1,0)</f>
        <v>0</v>
      </c>
      <c r="AG41" s="26" t="n">
        <f aca="false">IF(COUNTIF(AG40:$AN$40,"&lt;=0")=0,1,0)</f>
        <v>0</v>
      </c>
      <c r="AH41" s="26" t="n">
        <f aca="false">IF(COUNTIF(AH40:$AN$40,"&lt;=0")=0,1,0)</f>
        <v>0</v>
      </c>
      <c r="AI41" s="26" t="n">
        <f aca="false">IF(COUNTIF(AI40:$AN$40,"&lt;=0")=0,1,0)</f>
        <v>0</v>
      </c>
      <c r="AJ41" s="26" t="n">
        <f aca="false">IF(COUNTIF(AJ40:$AN$40,"&lt;=0")=0,1,0)</f>
        <v>0</v>
      </c>
      <c r="AK41" s="26" t="n">
        <f aca="false">IF(COUNTIF(AK40:$AN$40,"&lt;=0")=0,1,0)</f>
        <v>0</v>
      </c>
      <c r="AL41" s="26" t="n">
        <f aca="false">IF(COUNTIF(AL40:$AN$40,"&lt;=0")=0,1,0)</f>
        <v>0</v>
      </c>
      <c r="AM41" s="26" t="n">
        <f aca="false">IF(COUNTIF(AM40:$AN$40,"&lt;=0")=0,1,0)</f>
        <v>0</v>
      </c>
      <c r="AN41" s="26" t="n">
        <f aca="false">IF(COUNTIF(AN40:$AN$40,"&lt;=0")=0,1,0)</f>
        <v>1</v>
      </c>
    </row>
    <row r="42" customFormat="false" ht="15" hidden="false" customHeight="false" outlineLevel="0" collapsed="false">
      <c r="A42" s="5" t="s">
        <v>177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customFormat="false" ht="15" hidden="false" customHeight="false" outlineLevel="0" collapsed="false">
      <c r="A43" s="3" t="s">
        <v>178</v>
      </c>
      <c r="C43" s="23" t="n">
        <f aca="false">IF(1=Hypothèses!$B$43,Hypothèses!$B$69,0)+IF(1=Hypothèses!$B$44,Hypothèses!$B$69,0)+IF(1=Hypothèses!$B$45,Hypothèses!$B$69,0)+IF(1=Hypothèses!$B$46,Hypothèses!$B$69,0)+IF(1=Hypothèses!$B$47,Hypothèses!$B$69,0)</f>
        <v>0</v>
      </c>
      <c r="D43" s="23" t="n">
        <f aca="false">Hypothèses!$B$68+IF(2=Hypothèses!$B$43,Hypothèses!$B$69,0)+IF(2=Hypothèses!$B$44,Hypothèses!$B$69,0)+IF(2=Hypothèses!$B$45,Hypothèses!$B$69,0)+IF(2=Hypothèses!$B$46,Hypothèses!$B$69,0)+IF(2=Hypothèses!$B$47,Hypothèses!$B$69,0)</f>
        <v>3800</v>
      </c>
      <c r="E43" s="23" t="n">
        <f aca="false">IF(3=Hypothèses!$B$43,Hypothèses!$B$69,0)+IF(3=Hypothèses!$B$44,Hypothèses!$B$69,0)+IF(3=Hypothèses!$B$45,Hypothèses!$B$69,0)+IF(3=Hypothèses!$B$46,Hypothèses!$B$69,0)+IF(3=Hypothèses!$B$47,Hypothèses!$B$69,0)</f>
        <v>0</v>
      </c>
      <c r="F43" s="23" t="n">
        <f aca="false">IF(4=Hypothèses!$B$43,Hypothèses!$B$69,0)+IF(4=Hypothèses!$B$44,Hypothèses!$B$69,0)+IF(4=Hypothèses!$B$45,Hypothèses!$B$69,0)+IF(4=Hypothèses!$B$46,Hypothèses!$B$69,0)+IF(4=Hypothèses!$B$47,Hypothèses!$B$69,0)</f>
        <v>0</v>
      </c>
      <c r="G43" s="23" t="n">
        <f aca="false">IF(5=Hypothèses!$B$43,Hypothèses!$B$69,0)+IF(5=Hypothèses!$B$44,Hypothèses!$B$69,0)+IF(5=Hypothèses!$B$45,Hypothèses!$B$69,0)+IF(5=Hypothèses!$B$46,Hypothèses!$B$69,0)+IF(5=Hypothèses!$B$47,Hypothèses!$B$69,0)</f>
        <v>0</v>
      </c>
      <c r="H43" s="23" t="n">
        <f aca="false">IF(6=Hypothèses!$B$43,Hypothèses!$B$69,0)+IF(6=Hypothèses!$B$44,Hypothèses!$B$69,0)+IF(6=Hypothèses!$B$45,Hypothèses!$B$69,0)+IF(6=Hypothèses!$B$46,Hypothèses!$B$69,0)+IF(6=Hypothèses!$B$47,Hypothèses!$B$69,0)</f>
        <v>0</v>
      </c>
      <c r="I43" s="23" t="n">
        <f aca="false">IF(7=Hypothèses!$B$43,Hypothèses!$B$69,0)+IF(7=Hypothèses!$B$44,Hypothèses!$B$69,0)+IF(7=Hypothèses!$B$45,Hypothèses!$B$69,0)+IF(7=Hypothèses!$B$46,Hypothèses!$B$69,0)+IF(7=Hypothèses!$B$47,Hypothèses!$B$69,0)</f>
        <v>0</v>
      </c>
      <c r="J43" s="23" t="n">
        <f aca="false">IF(8=Hypothèses!$B$43,Hypothèses!$B$69,0)+IF(8=Hypothèses!$B$44,Hypothèses!$B$69,0)+IF(8=Hypothèses!$B$45,Hypothèses!$B$69,0)+IF(8=Hypothèses!$B$46,Hypothèses!$B$69,0)+IF(8=Hypothèses!$B$47,Hypothèses!$B$69,0)</f>
        <v>0</v>
      </c>
      <c r="K43" s="23" t="n">
        <f aca="false">IF(9=Hypothèses!$B$43,Hypothèses!$B$69,0)+IF(9=Hypothèses!$B$44,Hypothèses!$B$69,0)+IF(9=Hypothèses!$B$45,Hypothèses!$B$69,0)+IF(9=Hypothèses!$B$46,Hypothèses!$B$69,0)+IF(9=Hypothèses!$B$47,Hypothèses!$B$69,0)</f>
        <v>0</v>
      </c>
      <c r="L43" s="23" t="n">
        <f aca="false">IF(10=Hypothèses!$B$43,Hypothèses!$B$69,0)+IF(10=Hypothèses!$B$44,Hypothèses!$B$69,0)+IF(10=Hypothèses!$B$45,Hypothèses!$B$69,0)+IF(10=Hypothèses!$B$46,Hypothèses!$B$69,0)+IF(10=Hypothèses!$B$47,Hypothèses!$B$69,0)</f>
        <v>0</v>
      </c>
      <c r="M43" s="23" t="n">
        <f aca="false">IF(11=Hypothèses!$B$43,Hypothèses!$B$69,0)+IF(11=Hypothèses!$B$44,Hypothèses!$B$69,0)+IF(11=Hypothèses!$B$45,Hypothèses!$B$69,0)+IF(11=Hypothèses!$B$46,Hypothèses!$B$69,0)+IF(11=Hypothèses!$B$47,Hypothèses!$B$69,0)</f>
        <v>2800</v>
      </c>
      <c r="N43" s="23" t="n">
        <f aca="false">IF(12=Hypothèses!$B$43,Hypothèses!$B$69,0)+IF(12=Hypothèses!$B$44,Hypothèses!$B$69,0)+IF(12=Hypothèses!$B$45,Hypothèses!$B$69,0)+IF(12=Hypothèses!$B$46,Hypothèses!$B$69,0)+IF(12=Hypothèses!$B$47,Hypothèses!$B$69,0)</f>
        <v>0</v>
      </c>
      <c r="O43" s="23" t="n">
        <f aca="false">IF(13=Hypothèses!$B$43,Hypothèses!$B$69,0)+IF(13=Hypothèses!$B$44,Hypothèses!$B$69,0)+IF(13=Hypothèses!$B$45,Hypothèses!$B$69,0)+IF(13=Hypothèses!$B$46,Hypothèses!$B$69,0)+IF(13=Hypothèses!$B$47,Hypothèses!$B$69,0)</f>
        <v>0</v>
      </c>
      <c r="P43" s="23" t="n">
        <f aca="false">IF(14=Hypothèses!$B$43,Hypothèses!$B$69,0)+IF(14=Hypothèses!$B$44,Hypothèses!$B$69,0)+IF(14=Hypothèses!$B$45,Hypothèses!$B$69,0)+IF(14=Hypothèses!$B$46,Hypothèses!$B$69,0)+IF(14=Hypothèses!$B$47,Hypothèses!$B$69,0)</f>
        <v>0</v>
      </c>
      <c r="Q43" s="23" t="n">
        <f aca="false">IF(15=Hypothèses!$B$43,Hypothèses!$B$69,0)+IF(15=Hypothèses!$B$44,Hypothèses!$B$69,0)+IF(15=Hypothèses!$B$45,Hypothèses!$B$69,0)+IF(15=Hypothèses!$B$46,Hypothèses!$B$69,0)+IF(15=Hypothèses!$B$47,Hypothèses!$B$69,0)</f>
        <v>0</v>
      </c>
      <c r="R43" s="23" t="n">
        <f aca="false">IF(16=Hypothèses!$B$43,Hypothèses!$B$69,0)+IF(16=Hypothèses!$B$44,Hypothèses!$B$69,0)+IF(16=Hypothèses!$B$45,Hypothèses!$B$69,0)+IF(16=Hypothèses!$B$46,Hypothèses!$B$69,0)+IF(16=Hypothèses!$B$47,Hypothèses!$B$69,0)</f>
        <v>0</v>
      </c>
      <c r="S43" s="23" t="n">
        <f aca="false">IF(17=Hypothèses!$B$43,Hypothèses!$B$69,0)+IF(17=Hypothèses!$B$44,Hypothèses!$B$69,0)+IF(17=Hypothèses!$B$45,Hypothèses!$B$69,0)+IF(17=Hypothèses!$B$46,Hypothèses!$B$69,0)+IF(17=Hypothèses!$B$47,Hypothèses!$B$69,0)</f>
        <v>0</v>
      </c>
      <c r="T43" s="23" t="n">
        <f aca="false">IF(18=Hypothèses!$B$43,Hypothèses!$B$69,0)+IF(18=Hypothèses!$B$44,Hypothèses!$B$69,0)+IF(18=Hypothèses!$B$45,Hypothèses!$B$69,0)+IF(18=Hypothèses!$B$46,Hypothèses!$B$69,0)+IF(18=Hypothèses!$B$47,Hypothèses!$B$69,0)</f>
        <v>0</v>
      </c>
      <c r="U43" s="23" t="n">
        <f aca="false">IF(19=Hypothèses!$B$43,Hypothèses!$B$69,0)+IF(19=Hypothèses!$B$44,Hypothèses!$B$69,0)+IF(19=Hypothèses!$B$45,Hypothèses!$B$69,0)+IF(19=Hypothèses!$B$46,Hypothèses!$B$69,0)+IF(19=Hypothèses!$B$47,Hypothèses!$B$69,0)</f>
        <v>0</v>
      </c>
      <c r="V43" s="23" t="n">
        <f aca="false">IF(20=Hypothèses!$B$43,Hypothèses!$B$69,0)+IF(20=Hypothèses!$B$44,Hypothèses!$B$69,0)+IF(20=Hypothèses!$B$45,Hypothèses!$B$69,0)+IF(20=Hypothèses!$B$46,Hypothèses!$B$69,0)+IF(20=Hypothèses!$B$47,Hypothèses!$B$69,0)</f>
        <v>0</v>
      </c>
      <c r="W43" s="23" t="n">
        <f aca="false">IF(21=Hypothèses!$B$43,Hypothèses!$B$69,0)+IF(21=Hypothèses!$B$44,Hypothèses!$B$69,0)+IF(21=Hypothèses!$B$45,Hypothèses!$B$69,0)+IF(21=Hypothèses!$B$46,Hypothèses!$B$69,0)+IF(21=Hypothèses!$B$47,Hypothèses!$B$69,0)</f>
        <v>0</v>
      </c>
      <c r="X43" s="23" t="n">
        <f aca="false">IF(22=Hypothèses!$B$43,Hypothèses!$B$69,0)+IF(22=Hypothèses!$B$44,Hypothèses!$B$69,0)+IF(22=Hypothèses!$B$45,Hypothèses!$B$69,0)+IF(22=Hypothèses!$B$46,Hypothèses!$B$69,0)+IF(22=Hypothèses!$B$47,Hypothèses!$B$69,0)</f>
        <v>0</v>
      </c>
      <c r="Y43" s="23" t="n">
        <f aca="false">IF(23=Hypothèses!$B$43,Hypothèses!$B$69,0)+IF(23=Hypothèses!$B$44,Hypothèses!$B$69,0)+IF(23=Hypothèses!$B$45,Hypothèses!$B$69,0)+IF(23=Hypothèses!$B$46,Hypothèses!$B$69,0)+IF(23=Hypothèses!$B$47,Hypothèses!$B$69,0)</f>
        <v>0</v>
      </c>
      <c r="Z43" s="23" t="n">
        <f aca="false">IF(24=Hypothèses!$B$43,Hypothèses!$B$69,0)+IF(24=Hypothèses!$B$44,Hypothèses!$B$69,0)+IF(24=Hypothèses!$B$45,Hypothèses!$B$69,0)+IF(24=Hypothèses!$B$46,Hypothèses!$B$69,0)+IF(24=Hypothèses!$B$47,Hypothèses!$B$69,0)</f>
        <v>0</v>
      </c>
      <c r="AA43" s="23" t="n">
        <f aca="false">IF(25=Hypothèses!$B$43,Hypothèses!$B$69,0)+IF(25=Hypothèses!$B$44,Hypothèses!$B$69,0)+IF(25=Hypothèses!$B$45,Hypothèses!$B$69,0)+IF(25=Hypothèses!$B$46,Hypothèses!$B$69,0)+IF(25=Hypothèses!$B$47,Hypothèses!$B$69,0)</f>
        <v>0</v>
      </c>
      <c r="AB43" s="23" t="n">
        <f aca="false">IF(26=Hypothèses!$B$43,Hypothèses!$B$69,0)+IF(26=Hypothèses!$B$44,Hypothèses!$B$69,0)+IF(26=Hypothèses!$B$45,Hypothèses!$B$69,0)+IF(26=Hypothèses!$B$46,Hypothèses!$B$69,0)+IF(26=Hypothèses!$B$47,Hypothèses!$B$69,0)</f>
        <v>0</v>
      </c>
      <c r="AC43" s="23" t="n">
        <f aca="false">IF(27=Hypothèses!$B$43,Hypothèses!$B$69,0)+IF(27=Hypothèses!$B$44,Hypothèses!$B$69,0)+IF(27=Hypothèses!$B$45,Hypothèses!$B$69,0)+IF(27=Hypothèses!$B$46,Hypothèses!$B$69,0)+IF(27=Hypothèses!$B$47,Hypothèses!$B$69,0)</f>
        <v>0</v>
      </c>
      <c r="AD43" s="23" t="n">
        <f aca="false">IF(28=Hypothèses!$B$43,Hypothèses!$B$69,0)+IF(28=Hypothèses!$B$44,Hypothèses!$B$69,0)+IF(28=Hypothèses!$B$45,Hypothèses!$B$69,0)+IF(28=Hypothèses!$B$46,Hypothèses!$B$69,0)+IF(28=Hypothèses!$B$47,Hypothèses!$B$69,0)</f>
        <v>0</v>
      </c>
      <c r="AE43" s="23" t="n">
        <f aca="false">IF(29=Hypothèses!$B$43,Hypothèses!$B$69,0)+IF(29=Hypothèses!$B$44,Hypothèses!$B$69,0)+IF(29=Hypothèses!$B$45,Hypothèses!$B$69,0)+IF(29=Hypothèses!$B$46,Hypothèses!$B$69,0)+IF(29=Hypothèses!$B$47,Hypothèses!$B$69,0)</f>
        <v>0</v>
      </c>
      <c r="AF43" s="23" t="n">
        <f aca="false">IF(30=Hypothèses!$B$43,Hypothèses!$B$69,0)+IF(30=Hypothèses!$B$44,Hypothèses!$B$69,0)+IF(30=Hypothèses!$B$45,Hypothèses!$B$69,0)+IF(30=Hypothèses!$B$46,Hypothèses!$B$69,0)+IF(30=Hypothèses!$B$47,Hypothèses!$B$69,0)</f>
        <v>0</v>
      </c>
      <c r="AG43" s="23" t="n">
        <f aca="false">IF(31=Hypothèses!$B$43,Hypothèses!$B$69,0)+IF(31=Hypothèses!$B$44,Hypothèses!$B$69,0)+IF(31=Hypothèses!$B$45,Hypothèses!$B$69,0)+IF(31=Hypothèses!$B$46,Hypothèses!$B$69,0)+IF(31=Hypothèses!$B$47,Hypothèses!$B$69,0)</f>
        <v>0</v>
      </c>
      <c r="AH43" s="23" t="n">
        <f aca="false">IF(32=Hypothèses!$B$43,Hypothèses!$B$69,0)+IF(32=Hypothèses!$B$44,Hypothèses!$B$69,0)+IF(32=Hypothèses!$B$45,Hypothèses!$B$69,0)+IF(32=Hypothèses!$B$46,Hypothèses!$B$69,0)+IF(32=Hypothèses!$B$47,Hypothèses!$B$69,0)</f>
        <v>0</v>
      </c>
      <c r="AI43" s="23" t="n">
        <f aca="false">IF(33=Hypothèses!$B$43,Hypothèses!$B$69,0)+IF(33=Hypothèses!$B$44,Hypothèses!$B$69,0)+IF(33=Hypothèses!$B$45,Hypothèses!$B$69,0)+IF(33=Hypothèses!$B$46,Hypothèses!$B$69,0)+IF(33=Hypothèses!$B$47,Hypothèses!$B$69,0)</f>
        <v>0</v>
      </c>
      <c r="AJ43" s="23" t="n">
        <f aca="false">IF(34=Hypothèses!$B$43,Hypothèses!$B$69,0)+IF(34=Hypothèses!$B$44,Hypothèses!$B$69,0)+IF(34=Hypothèses!$B$45,Hypothèses!$B$69,0)+IF(34=Hypothèses!$B$46,Hypothèses!$B$69,0)+IF(34=Hypothèses!$B$47,Hypothèses!$B$69,0)</f>
        <v>0</v>
      </c>
      <c r="AK43" s="23" t="n">
        <f aca="false">IF(35=Hypothèses!$B$43,Hypothèses!$B$69,0)+IF(35=Hypothèses!$B$44,Hypothèses!$B$69,0)+IF(35=Hypothèses!$B$45,Hypothèses!$B$69,0)+IF(35=Hypothèses!$B$46,Hypothèses!$B$69,0)+IF(35=Hypothèses!$B$47,Hypothèses!$B$69,0)</f>
        <v>0</v>
      </c>
      <c r="AL43" s="23" t="n">
        <f aca="false">IF(36=Hypothèses!$B$43,Hypothèses!$B$69,0)+IF(36=Hypothèses!$B$44,Hypothèses!$B$69,0)+IF(36=Hypothèses!$B$45,Hypothèses!$B$69,0)+IF(36=Hypothèses!$B$46,Hypothèses!$B$69,0)+IF(36=Hypothèses!$B$47,Hypothèses!$B$69,0)</f>
        <v>0</v>
      </c>
      <c r="AM43" s="23" t="n">
        <f aca="false">IF(37=Hypothèses!$B$43,Hypothèses!$B$69,0)+IF(37=Hypothèses!$B$44,Hypothèses!$B$69,0)+IF(37=Hypothèses!$B$45,Hypothèses!$B$69,0)+IF(37=Hypothèses!$B$46,Hypothèses!$B$69,0)+IF(37=Hypothèses!$B$47,Hypothèses!$B$69,0)</f>
        <v>0</v>
      </c>
      <c r="AN43" s="23" t="n">
        <f aca="false">IF(38=Hypothèses!$B$43,Hypothèses!$B$69,0)+IF(38=Hypothèses!$B$44,Hypothèses!$B$69,0)+IF(38=Hypothèses!$B$45,Hypothèses!$B$69,0)+IF(38=Hypothèses!$B$46,Hypothèses!$B$69,0)+IF(38=Hypothèses!$B$47,Hypothèses!$B$69,0)</f>
        <v>0</v>
      </c>
    </row>
    <row r="44" customFormat="false" ht="15" hidden="false" customHeight="false" outlineLevel="0" collapsed="false">
      <c r="A44" s="3" t="s">
        <v>179</v>
      </c>
      <c r="C44" s="23" t="n">
        <f aca="false">SUM(C43:C43)/Hypothèses!$B$70</f>
        <v>0</v>
      </c>
      <c r="D44" s="23" t="n">
        <f aca="false">SUM(C43:D43)/Hypothèses!$B$70</f>
        <v>105.555555555556</v>
      </c>
      <c r="E44" s="23" t="n">
        <f aca="false">SUM(C43:E43)/Hypothèses!$B$70</f>
        <v>105.555555555556</v>
      </c>
      <c r="F44" s="23" t="n">
        <f aca="false">SUM(C43:F43)/Hypothèses!$B$70</f>
        <v>105.555555555556</v>
      </c>
      <c r="G44" s="23" t="n">
        <f aca="false">SUM(C43:G43)/Hypothèses!$B$70</f>
        <v>105.555555555556</v>
      </c>
      <c r="H44" s="23" t="n">
        <f aca="false">SUM(C43:H43)/Hypothèses!$B$70</f>
        <v>105.555555555556</v>
      </c>
      <c r="I44" s="23" t="n">
        <f aca="false">SUM(C43:I43)/Hypothèses!$B$70</f>
        <v>105.555555555556</v>
      </c>
      <c r="J44" s="23" t="n">
        <f aca="false">SUM(C43:J43)/Hypothèses!$B$70</f>
        <v>105.555555555556</v>
      </c>
      <c r="K44" s="23" t="n">
        <f aca="false">SUM(C43:K43)/Hypothèses!$B$70</f>
        <v>105.555555555556</v>
      </c>
      <c r="L44" s="23" t="n">
        <f aca="false">SUM(C43:L43)/Hypothèses!$B$70</f>
        <v>105.555555555556</v>
      </c>
      <c r="M44" s="23" t="n">
        <f aca="false">SUM(C43:M43)/Hypothèses!$B$70</f>
        <v>183.333333333333</v>
      </c>
      <c r="N44" s="23" t="n">
        <f aca="false">SUM(C43:N43)/Hypothèses!$B$70</f>
        <v>183.333333333333</v>
      </c>
      <c r="O44" s="23" t="n">
        <f aca="false">SUM(C43:O43)/Hypothèses!$B$70</f>
        <v>183.333333333333</v>
      </c>
      <c r="P44" s="23" t="n">
        <f aca="false">SUM(C43:P43)/Hypothèses!$B$70</f>
        <v>183.333333333333</v>
      </c>
      <c r="Q44" s="23" t="n">
        <f aca="false">SUM(C43:Q43)/Hypothèses!$B$70</f>
        <v>183.333333333333</v>
      </c>
      <c r="R44" s="23" t="n">
        <f aca="false">SUM(C43:R43)/Hypothèses!$B$70</f>
        <v>183.333333333333</v>
      </c>
      <c r="S44" s="23" t="n">
        <f aca="false">SUM(C43:S43)/Hypothèses!$B$70</f>
        <v>183.333333333333</v>
      </c>
      <c r="T44" s="23" t="n">
        <f aca="false">SUM(C43:T43)/Hypothèses!$B$70</f>
        <v>183.333333333333</v>
      </c>
      <c r="U44" s="23" t="n">
        <f aca="false">SUM(C43:U43)/Hypothèses!$B$70</f>
        <v>183.333333333333</v>
      </c>
      <c r="V44" s="23" t="n">
        <f aca="false">SUM(C43:V43)/Hypothèses!$B$70</f>
        <v>183.333333333333</v>
      </c>
      <c r="W44" s="23" t="n">
        <f aca="false">SUM(C43:W43)/Hypothèses!$B$70</f>
        <v>183.333333333333</v>
      </c>
      <c r="X44" s="23" t="n">
        <f aca="false">SUM(C43:X43)/Hypothèses!$B$70</f>
        <v>183.333333333333</v>
      </c>
      <c r="Y44" s="23" t="n">
        <f aca="false">SUM(C43:Y43)/Hypothèses!$B$70</f>
        <v>183.333333333333</v>
      </c>
      <c r="Z44" s="23" t="n">
        <f aca="false">SUM(C43:Z43)/Hypothèses!$B$70</f>
        <v>183.333333333333</v>
      </c>
      <c r="AA44" s="23" t="n">
        <f aca="false">SUM(C43:AA43)/Hypothèses!$B$70</f>
        <v>183.333333333333</v>
      </c>
      <c r="AB44" s="23" t="n">
        <f aca="false">SUM(C43:AB43)/Hypothèses!$B$70</f>
        <v>183.333333333333</v>
      </c>
      <c r="AC44" s="23" t="n">
        <f aca="false">SUM(C43:AC43)/Hypothèses!$B$70</f>
        <v>183.333333333333</v>
      </c>
      <c r="AD44" s="23" t="n">
        <f aca="false">SUM(C43:AD43)/Hypothèses!$B$70</f>
        <v>183.333333333333</v>
      </c>
      <c r="AE44" s="23" t="n">
        <f aca="false">SUM(C43:AE43)/Hypothèses!$B$70</f>
        <v>183.333333333333</v>
      </c>
      <c r="AF44" s="23" t="n">
        <f aca="false">SUM(C43:AF43)/Hypothèses!$B$70</f>
        <v>183.333333333333</v>
      </c>
      <c r="AG44" s="23" t="n">
        <f aca="false">SUM(C43:AG43)/Hypothèses!$B$70</f>
        <v>183.333333333333</v>
      </c>
      <c r="AH44" s="23" t="n">
        <f aca="false">SUM(C43:AH43)/Hypothèses!$B$70</f>
        <v>183.333333333333</v>
      </c>
      <c r="AI44" s="23" t="n">
        <f aca="false">SUM(C43:AI43)/Hypothèses!$B$70</f>
        <v>183.333333333333</v>
      </c>
      <c r="AJ44" s="23" t="n">
        <f aca="false">SUM(C43:AJ43)/Hypothèses!$B$70</f>
        <v>183.333333333333</v>
      </c>
      <c r="AK44" s="23" t="n">
        <f aca="false">SUM(C43:AK43)/Hypothèses!$B$70</f>
        <v>183.333333333333</v>
      </c>
      <c r="AL44" s="23" t="n">
        <f aca="false">SUM(C43:AL43)/Hypothèses!$B$70</f>
        <v>183.333333333333</v>
      </c>
      <c r="AM44" s="23" t="n">
        <f aca="false">SUM(D43:AM43)/Hypothèses!$B$70</f>
        <v>183.333333333333</v>
      </c>
      <c r="AN44" s="23" t="n">
        <f aca="false">SUM(E43:AN43)/Hypothèses!$B$70</f>
        <v>77.7777777777778</v>
      </c>
    </row>
    <row r="45" customFormat="false" ht="15" hidden="false" customHeight="false" outlineLevel="0" collapsed="false">
      <c r="A45" s="5" t="s">
        <v>180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customFormat="false" ht="15" hidden="false" customHeight="false" outlineLevel="0" collapsed="false">
      <c r="A46" s="3" t="s">
        <v>181</v>
      </c>
      <c r="C46" s="23" t="n">
        <f aca="false">IF(AND(1&gt;=4,1&lt;4+Hypothèses!$B$79),-PMT(Hypothèses!$B$78/12,Hypothèses!$B$79,Hypothèses!$B$77),0)</f>
        <v>0</v>
      </c>
      <c r="D46" s="23" t="n">
        <f aca="false">IF(AND(2&gt;=4,2&lt;4+Hypothèses!$B$79),-PMT(Hypothèses!$B$78/12,Hypothèses!$B$79,Hypothèses!$B$77),0)</f>
        <v>0</v>
      </c>
      <c r="E46" s="23" t="n">
        <f aca="false">IF(AND(3&gt;=4,3&lt;4+Hypothèses!$B$79),-PMT(Hypothèses!$B$78/12,Hypothèses!$B$79,Hypothèses!$B$77),0)</f>
        <v>0</v>
      </c>
      <c r="F46" s="23" t="n">
        <f aca="false">IF(AND(4&gt;=4,4&lt;4+Hypothèses!$B$79),-PMT(Hypothèses!$B$78/12,Hypothèses!$B$79,Hypothèses!$B$77),0)</f>
        <v>1118.581154491</v>
      </c>
      <c r="G46" s="23" t="n">
        <f aca="false">IF(AND(5&gt;=4,5&lt;4+Hypothèses!$B$79),-PMT(Hypothèses!$B$78/12,Hypothèses!$B$79,Hypothèses!$B$77),0)</f>
        <v>1118.581154491</v>
      </c>
      <c r="H46" s="23" t="n">
        <f aca="false">IF(AND(6&gt;=4,6&lt;4+Hypothèses!$B$79),-PMT(Hypothèses!$B$78/12,Hypothèses!$B$79,Hypothèses!$B$77),0)</f>
        <v>1118.581154491</v>
      </c>
      <c r="I46" s="23" t="n">
        <f aca="false">IF(AND(7&gt;=4,7&lt;4+Hypothèses!$B$79),-PMT(Hypothèses!$B$78/12,Hypothèses!$B$79,Hypothèses!$B$77),0)</f>
        <v>1118.581154491</v>
      </c>
      <c r="J46" s="23" t="n">
        <f aca="false">IF(AND(8&gt;=4,8&lt;4+Hypothèses!$B$79),-PMT(Hypothèses!$B$78/12,Hypothèses!$B$79,Hypothèses!$B$77),0)</f>
        <v>1118.581154491</v>
      </c>
      <c r="K46" s="23" t="n">
        <f aca="false">IF(AND(9&gt;=4,9&lt;4+Hypothèses!$B$79),-PMT(Hypothèses!$B$78/12,Hypothèses!$B$79,Hypothèses!$B$77),0)</f>
        <v>1118.581154491</v>
      </c>
      <c r="L46" s="23" t="n">
        <f aca="false">IF(AND(10&gt;=4,10&lt;4+Hypothèses!$B$79),-PMT(Hypothèses!$B$78/12,Hypothèses!$B$79,Hypothèses!$B$77),0)</f>
        <v>1118.581154491</v>
      </c>
      <c r="M46" s="23" t="n">
        <f aca="false">IF(AND(11&gt;=4,11&lt;4+Hypothèses!$B$79),-PMT(Hypothèses!$B$78/12,Hypothèses!$B$79,Hypothèses!$B$77),0)</f>
        <v>1118.581154491</v>
      </c>
      <c r="N46" s="23" t="n">
        <f aca="false">IF(AND(12&gt;=4,12&lt;4+Hypothèses!$B$79),-PMT(Hypothèses!$B$78/12,Hypothèses!$B$79,Hypothèses!$B$77),0)</f>
        <v>1118.581154491</v>
      </c>
      <c r="O46" s="23" t="n">
        <f aca="false">IF(AND(13&gt;=4,13&lt;4+Hypothèses!$B$79),-PMT(Hypothèses!$B$78/12,Hypothèses!$B$79,Hypothèses!$B$77),0)</f>
        <v>1118.581154491</v>
      </c>
      <c r="P46" s="23" t="n">
        <f aca="false">IF(AND(14&gt;=4,14&lt;4+Hypothèses!$B$79),-PMT(Hypothèses!$B$78/12,Hypothèses!$B$79,Hypothèses!$B$77),0)</f>
        <v>1118.581154491</v>
      </c>
      <c r="Q46" s="23" t="n">
        <f aca="false">IF(AND(15&gt;=4,15&lt;4+Hypothèses!$B$79),-PMT(Hypothèses!$B$78/12,Hypothèses!$B$79,Hypothèses!$B$77),0)</f>
        <v>1118.581154491</v>
      </c>
      <c r="R46" s="23" t="n">
        <f aca="false">IF(AND(16&gt;=4,16&lt;4+Hypothèses!$B$79),-PMT(Hypothèses!$B$78/12,Hypothèses!$B$79,Hypothèses!$B$77),0)</f>
        <v>1118.581154491</v>
      </c>
      <c r="S46" s="23" t="n">
        <f aca="false">IF(AND(17&gt;=4,17&lt;4+Hypothèses!$B$79),-PMT(Hypothèses!$B$78/12,Hypothèses!$B$79,Hypothèses!$B$77),0)</f>
        <v>1118.581154491</v>
      </c>
      <c r="T46" s="23" t="n">
        <f aca="false">IF(AND(18&gt;=4,18&lt;4+Hypothèses!$B$79),-PMT(Hypothèses!$B$78/12,Hypothèses!$B$79,Hypothèses!$B$77),0)</f>
        <v>1118.581154491</v>
      </c>
      <c r="U46" s="23" t="n">
        <f aca="false">IF(AND(19&gt;=4,19&lt;4+Hypothèses!$B$79),-PMT(Hypothèses!$B$78/12,Hypothèses!$B$79,Hypothèses!$B$77),0)</f>
        <v>1118.581154491</v>
      </c>
      <c r="V46" s="23" t="n">
        <f aca="false">IF(AND(20&gt;=4,20&lt;4+Hypothèses!$B$79),-PMT(Hypothèses!$B$78/12,Hypothèses!$B$79,Hypothèses!$B$77),0)</f>
        <v>1118.581154491</v>
      </c>
      <c r="W46" s="23" t="n">
        <f aca="false">IF(AND(21&gt;=4,21&lt;4+Hypothèses!$B$79),-PMT(Hypothèses!$B$78/12,Hypothèses!$B$79,Hypothèses!$B$77),0)</f>
        <v>1118.581154491</v>
      </c>
      <c r="X46" s="23" t="n">
        <f aca="false">IF(AND(22&gt;=4,22&lt;4+Hypothèses!$B$79),-PMT(Hypothèses!$B$78/12,Hypothèses!$B$79,Hypothèses!$B$77),0)</f>
        <v>1118.581154491</v>
      </c>
      <c r="Y46" s="23" t="n">
        <f aca="false">IF(AND(23&gt;=4,23&lt;4+Hypothèses!$B$79),-PMT(Hypothèses!$B$78/12,Hypothèses!$B$79,Hypothèses!$B$77),0)</f>
        <v>1118.581154491</v>
      </c>
      <c r="Z46" s="23" t="n">
        <f aca="false">IF(AND(24&gt;=4,24&lt;4+Hypothèses!$B$79),-PMT(Hypothèses!$B$78/12,Hypothèses!$B$79,Hypothèses!$B$77),0)</f>
        <v>1118.581154491</v>
      </c>
      <c r="AA46" s="23" t="n">
        <f aca="false">IF(AND(25&gt;=4,25&lt;4+Hypothèses!$B$79),-PMT(Hypothèses!$B$78/12,Hypothèses!$B$79,Hypothèses!$B$77),0)</f>
        <v>1118.581154491</v>
      </c>
      <c r="AB46" s="23" t="n">
        <f aca="false">IF(AND(26&gt;=4,26&lt;4+Hypothèses!$B$79),-PMT(Hypothèses!$B$78/12,Hypothèses!$B$79,Hypothèses!$B$77),0)</f>
        <v>1118.581154491</v>
      </c>
      <c r="AC46" s="23" t="n">
        <f aca="false">IF(AND(27&gt;=4,27&lt;4+Hypothèses!$B$79),-PMT(Hypothèses!$B$78/12,Hypothèses!$B$79,Hypothèses!$B$77),0)</f>
        <v>1118.581154491</v>
      </c>
      <c r="AD46" s="23" t="n">
        <f aca="false">IF(AND(28&gt;=4,28&lt;4+Hypothèses!$B$79),-PMT(Hypothèses!$B$78/12,Hypothèses!$B$79,Hypothèses!$B$77),0)</f>
        <v>1118.581154491</v>
      </c>
      <c r="AE46" s="23" t="n">
        <f aca="false">IF(AND(29&gt;=4,29&lt;4+Hypothèses!$B$79),-PMT(Hypothèses!$B$78/12,Hypothèses!$B$79,Hypothèses!$B$77),0)</f>
        <v>1118.581154491</v>
      </c>
      <c r="AF46" s="23" t="n">
        <f aca="false">IF(AND(30&gt;=4,30&lt;4+Hypothèses!$B$79),-PMT(Hypothèses!$B$78/12,Hypothèses!$B$79,Hypothèses!$B$77),0)</f>
        <v>1118.581154491</v>
      </c>
      <c r="AG46" s="23" t="n">
        <f aca="false">IF(AND(31&gt;=4,31&lt;4+Hypothèses!$B$79),-PMT(Hypothèses!$B$78/12,Hypothèses!$B$79,Hypothèses!$B$77),0)</f>
        <v>1118.581154491</v>
      </c>
      <c r="AH46" s="23" t="n">
        <f aca="false">IF(AND(32&gt;=4,32&lt;4+Hypothèses!$B$79),-PMT(Hypothèses!$B$78/12,Hypothèses!$B$79,Hypothèses!$B$77),0)</f>
        <v>1118.581154491</v>
      </c>
      <c r="AI46" s="23" t="n">
        <f aca="false">IF(AND(33&gt;=4,33&lt;4+Hypothèses!$B$79),-PMT(Hypothèses!$B$78/12,Hypothèses!$B$79,Hypothèses!$B$77),0)</f>
        <v>1118.581154491</v>
      </c>
      <c r="AJ46" s="23" t="n">
        <f aca="false">IF(AND(34&gt;=4,34&lt;4+Hypothèses!$B$79),-PMT(Hypothèses!$B$78/12,Hypothèses!$B$79,Hypothèses!$B$77),0)</f>
        <v>1118.581154491</v>
      </c>
      <c r="AK46" s="23" t="n">
        <f aca="false">IF(AND(35&gt;=4,35&lt;4+Hypothèses!$B$79),-PMT(Hypothèses!$B$78/12,Hypothèses!$B$79,Hypothèses!$B$77),0)</f>
        <v>1118.581154491</v>
      </c>
      <c r="AL46" s="23" t="n">
        <f aca="false">IF(AND(36&gt;=4,36&lt;4+Hypothèses!$B$79),-PMT(Hypothèses!$B$78/12,Hypothèses!$B$79,Hypothèses!$B$77),0)</f>
        <v>1118.581154491</v>
      </c>
      <c r="AM46" s="23" t="n">
        <f aca="false">IF(AND(37&gt;=4,37&lt;4+Hypothèses!$B$79),-PMT(Hypothèses!$B$78/12,Hypothèses!$B$79,Hypothèses!$B$77),0)</f>
        <v>1118.581154491</v>
      </c>
      <c r="AN46" s="23" t="n">
        <f aca="false">IF(AND(38&gt;=4,38&lt;4+Hypothèses!$B$79),-PMT(Hypothèses!$B$78/12,Hypothèses!$B$79,Hypothèses!$B$77),0)</f>
        <v>1118.581154491</v>
      </c>
    </row>
    <row r="47" customFormat="false" ht="15" hidden="false" customHeight="false" outlineLevel="0" collapsed="false">
      <c r="A47" s="3" t="s">
        <v>182</v>
      </c>
      <c r="C47" s="23" t="n">
        <f aca="false">IF(1=3,Hypothèses!$B$77,0)</f>
        <v>0</v>
      </c>
      <c r="D47" s="23" t="n">
        <f aca="false">IF(2=3,Hypothèses!$B$77,0)</f>
        <v>0</v>
      </c>
      <c r="E47" s="23" t="n">
        <f aca="false">IF(3=3,Hypothèses!$B$77,0)</f>
        <v>60000</v>
      </c>
      <c r="F47" s="23" t="n">
        <f aca="false">E47-(F46-E47*Hypothèses!$B$78/12)</f>
        <v>59106.418845509</v>
      </c>
      <c r="G47" s="23" t="n">
        <f aca="false">F47-(G46-F47*Hypothèses!$B$78/12)</f>
        <v>58209.4867616887</v>
      </c>
      <c r="H47" s="23" t="n">
        <f aca="false">G47-(H46-G47*Hypothèses!$B$78/12)</f>
        <v>57309.191182554</v>
      </c>
      <c r="I47" s="23" t="n">
        <f aca="false">H47-(I46-H47*Hypothèses!$B$78/12)</f>
        <v>56405.5194949976</v>
      </c>
      <c r="J47" s="23" t="n">
        <f aca="false">I47-(J46-I47*Hypothèses!$B$78/12)</f>
        <v>55498.4590386128</v>
      </c>
      <c r="K47" s="23" t="n">
        <f aca="false">J47-(K46-J47*Hypothèses!$B$78/12)</f>
        <v>54587.9971055166</v>
      </c>
      <c r="L47" s="23" t="n">
        <f aca="false">K47-(L46-K47*Hypothèses!$B$78/12)</f>
        <v>53674.1209401713</v>
      </c>
      <c r="M47" s="23" t="n">
        <f aca="false">L47-(M46-L47*Hypothèses!$B$78/12)</f>
        <v>52756.8177392059</v>
      </c>
      <c r="N47" s="23" t="n">
        <f aca="false">M47-(N46-M47*Hypothèses!$B$78/12)</f>
        <v>51836.074651237</v>
      </c>
      <c r="O47" s="23" t="n">
        <f aca="false">N47-(O46-N47*Hypothèses!$B$78/12)</f>
        <v>50911.8787766881</v>
      </c>
      <c r="P47" s="23" t="n">
        <f aca="false">O47-(P46-O47*Hypothèses!$B$78/12)</f>
        <v>49984.2171676097</v>
      </c>
      <c r="Q47" s="23" t="n">
        <f aca="false">P47-(Q46-P47*Hypothèses!$B$78/12)</f>
        <v>49053.0768274972</v>
      </c>
      <c r="R47" s="23" t="n">
        <f aca="false">Q47-(R46-Q47*Hypothèses!$B$78/12)</f>
        <v>48118.4447111094</v>
      </c>
      <c r="S47" s="23" t="n">
        <f aca="false">R47-(S46-R47*Hypothèses!$B$78/12)</f>
        <v>47180.307724285</v>
      </c>
      <c r="T47" s="23" t="n">
        <f aca="false">S47-(T46-S47*Hypothèses!$B$78/12)</f>
        <v>46238.6527237601</v>
      </c>
      <c r="U47" s="23" t="n">
        <f aca="false">T47-(U46-T47*Hypothèses!$B$78/12)</f>
        <v>45293.4665169832</v>
      </c>
      <c r="V47" s="23" t="n">
        <f aca="false">U47-(V46-U47*Hypothèses!$B$78/12)</f>
        <v>44344.7358619309</v>
      </c>
      <c r="W47" s="23" t="n">
        <f aca="false">V47-(W46-V47*Hypothèses!$B$78/12)</f>
        <v>43392.4474669221</v>
      </c>
      <c r="X47" s="23" t="n">
        <f aca="false">W47-(X46-W47*Hypothèses!$B$78/12)</f>
        <v>42436.5879904321</v>
      </c>
      <c r="Y47" s="23" t="n">
        <f aca="false">X47-(Y46-X47*Hypothèses!$B$78/12)</f>
        <v>41477.1440409052</v>
      </c>
      <c r="Z47" s="23" t="n">
        <f aca="false">Y47-(Z46-Y47*Hypothèses!$B$78/12)</f>
        <v>40514.1021765676</v>
      </c>
      <c r="AA47" s="23" t="n">
        <f aca="false">Z47-(AA46-Z47*Hypothèses!$B$78/12)</f>
        <v>39547.4489052387</v>
      </c>
      <c r="AB47" s="23" t="n">
        <f aca="false">AA47-(AB46-AA47*Hypothèses!$B$78/12)</f>
        <v>38577.1706841424</v>
      </c>
      <c r="AC47" s="23" t="n">
        <f aca="false">AB47-(AC46-AB47*Hypothèses!$B$78/12)</f>
        <v>37603.2539197169</v>
      </c>
      <c r="AD47" s="23" t="n">
        <f aca="false">AC47-(AD46-AC47*Hypothèses!$B$78/12)</f>
        <v>36625.6849674248</v>
      </c>
      <c r="AE47" s="23" t="n">
        <f aca="false">AD47-(AE46-AD47*Hypothèses!$B$78/12)</f>
        <v>35644.4501315617</v>
      </c>
      <c r="AF47" s="23" t="n">
        <f aca="false">AE47-(AF46-AE47*Hypothèses!$B$78/12)</f>
        <v>34659.535665064</v>
      </c>
      <c r="AG47" s="23" t="n">
        <f aca="false">AF47-(AG46-AF47*Hypothèses!$B$78/12)</f>
        <v>33670.927769317</v>
      </c>
      <c r="AH47" s="23" t="n">
        <f aca="false">AG47-(AH46-AG47*Hypothèses!$B$78/12)</f>
        <v>32678.612593961</v>
      </c>
      <c r="AI47" s="23" t="n">
        <f aca="false">AH47-(AI46-AH47*Hypothèses!$B$78/12)</f>
        <v>31682.5762366973</v>
      </c>
      <c r="AJ47" s="23" t="n">
        <f aca="false">AI47-(AJ46-AI47*Hypothèses!$B$78/12)</f>
        <v>30682.8047430939</v>
      </c>
      <c r="AK47" s="23" t="n">
        <f aca="false">AJ47-(AK46-AJ47*Hypothèses!$B$78/12)</f>
        <v>29679.2841063895</v>
      </c>
      <c r="AL47" s="23" t="n">
        <f aca="false">AK47-(AL46-AK47*Hypothèses!$B$78/12)</f>
        <v>28672.0002672975</v>
      </c>
      <c r="AM47" s="23" t="n">
        <f aca="false">AL47-(AM46-AL47*Hypothèses!$B$78/12)</f>
        <v>27660.9391138089</v>
      </c>
      <c r="AN47" s="23" t="n">
        <f aca="false">AM47-(AN46-AM47*Hypothèses!$B$78/12)</f>
        <v>26646.0864809947</v>
      </c>
    </row>
    <row r="48" customFormat="false" ht="15" hidden="false" customHeight="false" outlineLevel="0" collapsed="false">
      <c r="A48" s="3" t="s">
        <v>183</v>
      </c>
      <c r="C48" s="23" t="s">
        <v>153</v>
      </c>
      <c r="D48" s="23" t="s">
        <v>153</v>
      </c>
      <c r="E48" s="23" t="s">
        <v>153</v>
      </c>
      <c r="F48" s="23" t="n">
        <f aca="false">E47*Hypothèses!$B$78/12</f>
        <v>225</v>
      </c>
      <c r="G48" s="23" t="n">
        <f aca="false">F47*Hypothèses!$B$78/12</f>
        <v>221.649070670659</v>
      </c>
      <c r="H48" s="23" t="n">
        <f aca="false">G47*Hypothèses!$B$78/12</f>
        <v>218.285575356333</v>
      </c>
      <c r="I48" s="23" t="n">
        <f aca="false">H47*Hypothèses!$B$78/12</f>
        <v>214.909466934577</v>
      </c>
      <c r="J48" s="23" t="n">
        <f aca="false">I47*Hypothèses!$B$78/12</f>
        <v>211.520698106241</v>
      </c>
      <c r="K48" s="23" t="n">
        <f aca="false">J47*Hypothèses!$B$78/12</f>
        <v>208.119221394798</v>
      </c>
      <c r="L48" s="23" t="n">
        <f aca="false">K47*Hypothèses!$B$78/12</f>
        <v>204.704989145687</v>
      </c>
      <c r="M48" s="23" t="n">
        <f aca="false">L47*Hypothèses!$B$78/12</f>
        <v>201.277953525642</v>
      </c>
      <c r="N48" s="23" t="n">
        <f aca="false">M47*Hypothèses!$B$78/12</f>
        <v>197.838066522022</v>
      </c>
      <c r="O48" s="23" t="n">
        <f aca="false">N47*Hypothèses!$B$78/12</f>
        <v>194.385279942139</v>
      </c>
      <c r="P48" s="23" t="n">
        <f aca="false">O47*Hypothèses!$B$78/12</f>
        <v>190.91954541258</v>
      </c>
      <c r="Q48" s="23" t="n">
        <f aca="false">P47*Hypothèses!$B$78/12</f>
        <v>187.440814378536</v>
      </c>
      <c r="R48" s="23" t="n">
        <f aca="false">Q47*Hypothèses!$B$78/12</f>
        <v>183.949038103115</v>
      </c>
      <c r="S48" s="23" t="n">
        <f aca="false">R47*Hypothèses!$B$78/12</f>
        <v>180.44416766666</v>
      </c>
      <c r="T48" s="23" t="n">
        <f aca="false">S47*Hypothèses!$B$78/12</f>
        <v>176.926153966069</v>
      </c>
      <c r="U48" s="23" t="n">
        <f aca="false">T47*Hypothèses!$B$78/12</f>
        <v>173.3949477141</v>
      </c>
      <c r="V48" s="23" t="n">
        <f aca="false">U47*Hypothèses!$B$78/12</f>
        <v>169.850499438687</v>
      </c>
      <c r="W48" s="23" t="n">
        <f aca="false">V47*Hypothèses!$B$78/12</f>
        <v>166.292759482241</v>
      </c>
      <c r="X48" s="23" t="n">
        <f aca="false">W47*Hypothèses!$B$78/12</f>
        <v>162.721678000958</v>
      </c>
      <c r="Y48" s="23" t="n">
        <f aca="false">X47*Hypothèses!$B$78/12</f>
        <v>159.13720496412</v>
      </c>
      <c r="Z48" s="23" t="n">
        <f aca="false">Y47*Hypothèses!$B$78/12</f>
        <v>155.539290153394</v>
      </c>
      <c r="AA48" s="23" t="n">
        <f aca="false">Z47*Hypothèses!$B$78/12</f>
        <v>151.927883162128</v>
      </c>
      <c r="AB48" s="23" t="n">
        <f aca="false">AA47*Hypothèses!$B$78/12</f>
        <v>148.302933394645</v>
      </c>
      <c r="AC48" s="23" t="n">
        <f aca="false">AB47*Hypothèses!$B$78/12</f>
        <v>144.664390065534</v>
      </c>
      <c r="AD48" s="23" t="n">
        <f aca="false">AC47*Hypothèses!$B$78/12</f>
        <v>141.012202198938</v>
      </c>
      <c r="AE48" s="23" t="n">
        <f aca="false">AD47*Hypothèses!$B$78/12</f>
        <v>137.346318627843</v>
      </c>
      <c r="AF48" s="23" t="n">
        <f aca="false">AE47*Hypothèses!$B$78/12</f>
        <v>133.666687993356</v>
      </c>
      <c r="AG48" s="23" t="n">
        <f aca="false">AF47*Hypothèses!$B$78/12</f>
        <v>129.97325874399</v>
      </c>
      <c r="AH48" s="23" t="n">
        <f aca="false">AG47*Hypothèses!$B$78/12</f>
        <v>126.265979134939</v>
      </c>
      <c r="AI48" s="23" t="n">
        <f aca="false">AH47*Hypothèses!$B$78/12</f>
        <v>122.544797227354</v>
      </c>
      <c r="AJ48" s="23" t="n">
        <f aca="false">AI47*Hypothèses!$B$78/12</f>
        <v>118.809660887615</v>
      </c>
      <c r="AK48" s="23" t="n">
        <f aca="false">AJ47*Hypothèses!$B$78/12</f>
        <v>115.060517786602</v>
      </c>
      <c r="AL48" s="23" t="n">
        <f aca="false">AK47*Hypothèses!$B$78/12</f>
        <v>111.297315398961</v>
      </c>
      <c r="AM48" s="23" t="n">
        <f aca="false">AL47*Hypothèses!$B$78/12</f>
        <v>107.520001002366</v>
      </c>
      <c r="AN48" s="23" t="n">
        <f aca="false">AM47*Hypothèses!$B$78/12</f>
        <v>103.728521676783</v>
      </c>
    </row>
    <row r="49" customFormat="false" ht="15" hidden="false" customHeight="false" outlineLevel="0" collapsed="false">
      <c r="A49" s="3" t="s">
        <v>184</v>
      </c>
      <c r="C49" s="23" t="n">
        <f aca="false">C46-C48</f>
        <v>0</v>
      </c>
      <c r="D49" s="23" t="n">
        <f aca="false">D46-D48</f>
        <v>0</v>
      </c>
      <c r="E49" s="23" t="n">
        <f aca="false">E46-E48</f>
        <v>0</v>
      </c>
      <c r="F49" s="23" t="n">
        <f aca="false">F46-F48</f>
        <v>893.581154490999</v>
      </c>
      <c r="G49" s="23" t="n">
        <f aca="false">G46-G48</f>
        <v>896.93208382034</v>
      </c>
      <c r="H49" s="23" t="n">
        <f aca="false">H46-H48</f>
        <v>900.295579134667</v>
      </c>
      <c r="I49" s="23" t="n">
        <f aca="false">I46-I48</f>
        <v>903.671687556422</v>
      </c>
      <c r="J49" s="23" t="n">
        <f aca="false">J46-J48</f>
        <v>907.060456384758</v>
      </c>
      <c r="K49" s="23" t="n">
        <f aca="false">K46-K48</f>
        <v>910.461933096201</v>
      </c>
      <c r="L49" s="23" t="n">
        <f aca="false">L46-L48</f>
        <v>913.876165345312</v>
      </c>
      <c r="M49" s="23" t="n">
        <f aca="false">M46-M48</f>
        <v>917.303200965357</v>
      </c>
      <c r="N49" s="23" t="n">
        <f aca="false">N46-N48</f>
        <v>920.743087968977</v>
      </c>
      <c r="O49" s="23" t="n">
        <f aca="false">O46-O48</f>
        <v>924.195874548861</v>
      </c>
      <c r="P49" s="23" t="n">
        <f aca="false">P46-P48</f>
        <v>927.661609078419</v>
      </c>
      <c r="Q49" s="23" t="n">
        <f aca="false">Q46-Q48</f>
        <v>931.140340112463</v>
      </c>
      <c r="R49" s="23" t="n">
        <f aca="false">R46-R48</f>
        <v>934.632116387885</v>
      </c>
      <c r="S49" s="23" t="n">
        <f aca="false">S46-S48</f>
        <v>938.136986824339</v>
      </c>
      <c r="T49" s="23" t="n">
        <f aca="false">T46-T48</f>
        <v>941.65500052493</v>
      </c>
      <c r="U49" s="23" t="n">
        <f aca="false">U46-U48</f>
        <v>945.186206776899</v>
      </c>
      <c r="V49" s="23" t="n">
        <f aca="false">V46-V48</f>
        <v>948.730655052312</v>
      </c>
      <c r="W49" s="23" t="n">
        <f aca="false">W46-W48</f>
        <v>952.288395008758</v>
      </c>
      <c r="X49" s="23" t="n">
        <f aca="false">X46-X48</f>
        <v>955.859476490041</v>
      </c>
      <c r="Y49" s="23" t="n">
        <f aca="false">Y46-Y48</f>
        <v>959.443949526879</v>
      </c>
      <c r="Z49" s="23" t="n">
        <f aca="false">Z46-Z48</f>
        <v>963.041864337605</v>
      </c>
      <c r="AA49" s="23" t="n">
        <f aca="false">AA46-AA48</f>
        <v>966.653271328871</v>
      </c>
      <c r="AB49" s="23" t="n">
        <f aca="false">AB46-AB48</f>
        <v>970.278221096354</v>
      </c>
      <c r="AC49" s="23" t="n">
        <f aca="false">AC46-AC48</f>
        <v>973.916764425465</v>
      </c>
      <c r="AD49" s="23" t="n">
        <f aca="false">AD46-AD48</f>
        <v>977.568952292061</v>
      </c>
      <c r="AE49" s="23" t="n">
        <f aca="false">AE46-AE48</f>
        <v>981.234835863156</v>
      </c>
      <c r="AF49" s="23" t="n">
        <f aca="false">AF46-AF48</f>
        <v>984.914466497643</v>
      </c>
      <c r="AG49" s="23" t="n">
        <f aca="false">AG46-AG48</f>
        <v>988.607895747009</v>
      </c>
      <c r="AH49" s="23" t="n">
        <f aca="false">AH46-AH48</f>
        <v>992.31517535606</v>
      </c>
      <c r="AI49" s="23" t="n">
        <f aca="false">AI46-AI48</f>
        <v>996.036357263645</v>
      </c>
      <c r="AJ49" s="23" t="n">
        <f aca="false">AJ46-AJ48</f>
        <v>999.771493603384</v>
      </c>
      <c r="AK49" s="23" t="n">
        <f aca="false">AK46-AK48</f>
        <v>1003.5206367044</v>
      </c>
      <c r="AL49" s="23" t="n">
        <f aca="false">AL46-AL48</f>
        <v>1007.28383909204</v>
      </c>
      <c r="AM49" s="23" t="n">
        <f aca="false">AM46-AM48</f>
        <v>1011.06115348863</v>
      </c>
      <c r="AN49" s="23" t="n">
        <f aca="false">AN46-AN48</f>
        <v>1014.85263281422</v>
      </c>
    </row>
    <row r="50" customFormat="false" ht="15" hidden="false" customHeight="false" outlineLevel="0" collapsed="false">
      <c r="A50" s="3" t="s">
        <v>185</v>
      </c>
      <c r="C50" s="23" t="n">
        <f aca="false">Hypothèses!$B$73</f>
        <v>10000</v>
      </c>
      <c r="D50" s="23" t="n">
        <f aca="false">Hypothèses!$B$74</f>
        <v>40000</v>
      </c>
      <c r="E50" s="23" t="n">
        <f aca="false">Hypothèses!$B$77</f>
        <v>60000</v>
      </c>
      <c r="F50" s="23" t="s">
        <v>153</v>
      </c>
      <c r="G50" s="23" t="n">
        <f aca="false">Hypothèses!$B$75+Hypothèses!$B$80</f>
        <v>141000</v>
      </c>
      <c r="H50" s="23" t="s">
        <v>153</v>
      </c>
      <c r="I50" s="23" t="s">
        <v>153</v>
      </c>
      <c r="J50" s="23" t="s">
        <v>153</v>
      </c>
      <c r="K50" s="23" t="s">
        <v>153</v>
      </c>
      <c r="L50" s="23" t="s">
        <v>153</v>
      </c>
      <c r="M50" s="23" t="s">
        <v>153</v>
      </c>
      <c r="N50" s="23" t="s">
        <v>153</v>
      </c>
      <c r="O50" s="23" t="s">
        <v>153</v>
      </c>
      <c r="P50" s="23" t="s">
        <v>153</v>
      </c>
      <c r="Q50" s="23" t="s">
        <v>153</v>
      </c>
      <c r="R50" s="23" t="s">
        <v>153</v>
      </c>
      <c r="S50" s="23" t="n">
        <f aca="false">Hypothèses!$B$76</f>
        <v>9000</v>
      </c>
      <c r="T50" s="23" t="s">
        <v>153</v>
      </c>
      <c r="U50" s="23" t="s">
        <v>153</v>
      </c>
      <c r="V50" s="23" t="s">
        <v>153</v>
      </c>
      <c r="W50" s="23" t="s">
        <v>153</v>
      </c>
      <c r="X50" s="23" t="s">
        <v>153</v>
      </c>
      <c r="Y50" s="23" t="s">
        <v>153</v>
      </c>
      <c r="Z50" s="23" t="s">
        <v>153</v>
      </c>
      <c r="AA50" s="23" t="s">
        <v>153</v>
      </c>
      <c r="AB50" s="23" t="s">
        <v>153</v>
      </c>
      <c r="AC50" s="23" t="s">
        <v>153</v>
      </c>
      <c r="AD50" s="23" t="s">
        <v>153</v>
      </c>
      <c r="AE50" s="23" t="s">
        <v>153</v>
      </c>
      <c r="AF50" s="23" t="s">
        <v>153</v>
      </c>
      <c r="AG50" s="23" t="s">
        <v>153</v>
      </c>
      <c r="AH50" s="23" t="s">
        <v>153</v>
      </c>
      <c r="AI50" s="23" t="s">
        <v>153</v>
      </c>
      <c r="AJ50" s="23" t="s">
        <v>153</v>
      </c>
      <c r="AK50" s="23" t="s">
        <v>153</v>
      </c>
      <c r="AL50" s="23" t="s">
        <v>153</v>
      </c>
      <c r="AM50" s="23" t="s">
        <v>153</v>
      </c>
      <c r="AN50" s="23" t="s">
        <v>153</v>
      </c>
    </row>
    <row r="51" customFormat="false" ht="15" hidden="false" customHeight="false" outlineLevel="0" collapsed="false">
      <c r="A51" s="3" t="s">
        <v>186</v>
      </c>
      <c r="C51" s="23" t="s">
        <v>153</v>
      </c>
      <c r="D51" s="23" t="s">
        <v>153</v>
      </c>
      <c r="E51" s="23" t="s">
        <v>153</v>
      </c>
      <c r="F51" s="23" t="s">
        <v>153</v>
      </c>
      <c r="G51" s="23" t="n">
        <f aca="false">Hypothèses!$B$75</f>
        <v>21000</v>
      </c>
      <c r="H51" s="23" t="s">
        <v>153</v>
      </c>
      <c r="I51" s="23" t="s">
        <v>153</v>
      </c>
      <c r="J51" s="23" t="s">
        <v>153</v>
      </c>
      <c r="K51" s="23" t="s">
        <v>153</v>
      </c>
      <c r="L51" s="23" t="s">
        <v>153</v>
      </c>
      <c r="M51" s="23" t="s">
        <v>153</v>
      </c>
      <c r="N51" s="23" t="s">
        <v>153</v>
      </c>
      <c r="O51" s="23" t="s">
        <v>153</v>
      </c>
      <c r="P51" s="23" t="s">
        <v>153</v>
      </c>
      <c r="Q51" s="23" t="s">
        <v>153</v>
      </c>
      <c r="R51" s="23" t="s">
        <v>153</v>
      </c>
      <c r="S51" s="23" t="n">
        <f aca="false">Hypothèses!$B$76</f>
        <v>9000</v>
      </c>
      <c r="T51" s="23" t="s">
        <v>153</v>
      </c>
      <c r="U51" s="23" t="s">
        <v>153</v>
      </c>
      <c r="V51" s="23" t="s">
        <v>153</v>
      </c>
      <c r="W51" s="23" t="s">
        <v>153</v>
      </c>
      <c r="X51" s="23" t="s">
        <v>153</v>
      </c>
      <c r="Y51" s="23" t="s">
        <v>153</v>
      </c>
      <c r="Z51" s="23" t="s">
        <v>153</v>
      </c>
      <c r="AA51" s="23" t="s">
        <v>153</v>
      </c>
      <c r="AB51" s="23" t="s">
        <v>153</v>
      </c>
      <c r="AC51" s="23" t="s">
        <v>153</v>
      </c>
      <c r="AD51" s="23" t="s">
        <v>153</v>
      </c>
      <c r="AE51" s="23" t="s">
        <v>153</v>
      </c>
      <c r="AF51" s="23" t="s">
        <v>153</v>
      </c>
      <c r="AG51" s="23" t="s">
        <v>153</v>
      </c>
      <c r="AH51" s="23" t="s">
        <v>153</v>
      </c>
      <c r="AI51" s="23" t="s">
        <v>153</v>
      </c>
      <c r="AJ51" s="23" t="s">
        <v>153</v>
      </c>
      <c r="AK51" s="23" t="s">
        <v>153</v>
      </c>
      <c r="AL51" s="23" t="s">
        <v>153</v>
      </c>
      <c r="AM51" s="23" t="s">
        <v>153</v>
      </c>
      <c r="AN51" s="23" t="s">
        <v>153</v>
      </c>
    </row>
    <row r="52" customFormat="false" ht="15" hidden="false" customHeight="false" outlineLevel="0" collapsed="false">
      <c r="A52" s="5" t="s">
        <v>187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customFormat="false" ht="15" hidden="false" customHeight="false" outlineLevel="0" collapsed="false">
      <c r="A53" s="12" t="s">
        <v>188</v>
      </c>
      <c r="C53" s="22" t="n">
        <f aca="false">C39-C44</f>
        <v>-5500</v>
      </c>
      <c r="D53" s="22" t="n">
        <f aca="false">D39-D44</f>
        <v>-7605.55555555556</v>
      </c>
      <c r="E53" s="22" t="n">
        <f aca="false">E39-E44</f>
        <v>-11705.5555555556</v>
      </c>
      <c r="F53" s="22" t="n">
        <f aca="false">F39-F44</f>
        <v>-14705.5555555556</v>
      </c>
      <c r="G53" s="22" t="n">
        <f aca="false">G39-G44</f>
        <v>-11605.8055555556</v>
      </c>
      <c r="H53" s="22" t="n">
        <f aca="false">H39-H44</f>
        <v>-11559.1305555556</v>
      </c>
      <c r="I53" s="22" t="n">
        <f aca="false">I39-I44</f>
        <v>-7380.30368055556</v>
      </c>
      <c r="J53" s="22" t="n">
        <f aca="false">J39-J44</f>
        <v>-7257.87872743056</v>
      </c>
      <c r="K53" s="22" t="n">
        <f aca="false">K39-K44</f>
        <v>-7003.76439813368</v>
      </c>
      <c r="L53" s="22" t="n">
        <f aca="false">L39-L44</f>
        <v>-6480.92167706923</v>
      </c>
      <c r="M53" s="22" t="n">
        <f aca="false">M39-M44</f>
        <v>-10180.1215518092</v>
      </c>
      <c r="N53" s="22" t="n">
        <f aca="false">N39-N44</f>
        <v>-9268.11434634727</v>
      </c>
      <c r="O53" s="22" t="n">
        <f aca="false">O39-O44</f>
        <v>-10226.1823210219</v>
      </c>
      <c r="P53" s="22" t="n">
        <f aca="false">P39-P44</f>
        <v>-7758.7360963297</v>
      </c>
      <c r="Q53" s="22" t="n">
        <f aca="false">Q39-Q44</f>
        <v>-11076.5705448486</v>
      </c>
      <c r="R53" s="22" t="n">
        <f aca="false">R39-R44</f>
        <v>-13317.4896145607</v>
      </c>
      <c r="S53" s="22" t="n">
        <f aca="false">S39-S44</f>
        <v>-5396.38570753004</v>
      </c>
      <c r="T53" s="22" t="n">
        <f aca="false">T39-T44</f>
        <v>-4679.30939817512</v>
      </c>
      <c r="U53" s="22" t="n">
        <f aca="false">U39-U44</f>
        <v>-5899.15999655408</v>
      </c>
      <c r="V53" s="22" t="n">
        <f aca="false">V39-V44</f>
        <v>-9695.51432997356</v>
      </c>
      <c r="W53" s="22" t="n">
        <f aca="false">W39-W44</f>
        <v>-7326.95980505755</v>
      </c>
      <c r="X53" s="22" t="n">
        <f aca="false">X39-X44</f>
        <v>-7694.61914326445</v>
      </c>
      <c r="Y53" s="22" t="n">
        <f aca="false">Y39-Y44</f>
        <v>-6340.08699801617</v>
      </c>
      <c r="Z53" s="22" t="n">
        <f aca="false">Z39-Z44</f>
        <v>-4710.4181563991</v>
      </c>
      <c r="AA53" s="22" t="n">
        <f aca="false">AA39-AA44</f>
        <v>-9266.49103582246</v>
      </c>
      <c r="AB53" s="22" t="n">
        <f aca="false">AB39-AB44</f>
        <v>-2560.66209326023</v>
      </c>
      <c r="AC53" s="22" t="n">
        <f aca="false">AC39-AC44</f>
        <v>-5938.39713418485</v>
      </c>
      <c r="AD53" s="22" t="n">
        <f aca="false">AD39-AD44</f>
        <v>-10705.9205391636</v>
      </c>
      <c r="AE53" s="22" t="n">
        <f aca="false">AE39-AE44</f>
        <v>2295.59414098219</v>
      </c>
      <c r="AF53" s="22" t="n">
        <f aca="false">AF39-AF44</f>
        <v>3342.2709541243</v>
      </c>
      <c r="AG53" s="22" t="n">
        <f aca="false">AG39-AG44</f>
        <v>1237.90584693787</v>
      </c>
      <c r="AH53" s="22" t="n">
        <f aca="false">AH39-AH44</f>
        <v>-5179.12513256892</v>
      </c>
      <c r="AI53" s="22" t="n">
        <f aca="false">AI39-AI44</f>
        <v>-1327.70533758803</v>
      </c>
      <c r="AJ53" s="22" t="n">
        <f aca="false">AJ39-AJ44</f>
        <v>-2045.87103748166</v>
      </c>
      <c r="AK53" s="22" t="n">
        <f aca="false">AK39-AK44</f>
        <v>41.4424051220473</v>
      </c>
      <c r="AL53" s="22" t="n">
        <f aca="false">AL39-AL44</f>
        <v>2582.59801166066</v>
      </c>
      <c r="AM53" s="22" t="n">
        <f aca="false">AM39-AM44</f>
        <v>-5172.80027196419</v>
      </c>
      <c r="AN53" s="22" t="n">
        <f aca="false">AN39-AN44</f>
        <v>5980.49195705714</v>
      </c>
    </row>
    <row r="54" customFormat="false" ht="15" hidden="false" customHeight="false" outlineLevel="0" collapsed="false">
      <c r="A54" s="3" t="s">
        <v>189</v>
      </c>
      <c r="C54" s="23" t="n">
        <f aca="false">C53-C48+C51</f>
        <v>-5500</v>
      </c>
      <c r="D54" s="23" t="n">
        <f aca="false">D53-D48+D51</f>
        <v>-7605.55555555556</v>
      </c>
      <c r="E54" s="23" t="n">
        <f aca="false">E53-E48+E51</f>
        <v>-11705.5555555556</v>
      </c>
      <c r="F54" s="23" t="n">
        <f aca="false">F53-F48+F51</f>
        <v>-14930.5555555556</v>
      </c>
      <c r="G54" s="23" t="n">
        <f aca="false">G53-G48+G51</f>
        <v>9172.54537377379</v>
      </c>
      <c r="H54" s="23" t="n">
        <f aca="false">H53-H48+H51</f>
        <v>-11777.4161309119</v>
      </c>
      <c r="I54" s="23" t="n">
        <f aca="false">I53-I48+I51</f>
        <v>-7595.21314749013</v>
      </c>
      <c r="J54" s="23" t="n">
        <f aca="false">J53-J48+J51</f>
        <v>-7469.3994255368</v>
      </c>
      <c r="K54" s="23" t="n">
        <f aca="false">K53-K48+K51</f>
        <v>-7211.88361952848</v>
      </c>
      <c r="L54" s="23" t="n">
        <f aca="false">L53-L48+L51</f>
        <v>-6685.62666621492</v>
      </c>
      <c r="M54" s="23" t="n">
        <f aca="false">M53-M48+M51</f>
        <v>-10381.3995053348</v>
      </c>
      <c r="N54" s="23" t="n">
        <f aca="false">N53-N48+N51</f>
        <v>-9465.95241286929</v>
      </c>
      <c r="O54" s="23" t="n">
        <f aca="false">O53-O48+O51</f>
        <v>-10420.5676009641</v>
      </c>
      <c r="P54" s="23" t="n">
        <f aca="false">P53-P48+P51</f>
        <v>-7949.65564174228</v>
      </c>
      <c r="Q54" s="23" t="n">
        <f aca="false">Q53-Q48+Q51</f>
        <v>-11264.0113592271</v>
      </c>
      <c r="R54" s="23" t="n">
        <f aca="false">R53-R48+R51</f>
        <v>-13501.4386526638</v>
      </c>
      <c r="S54" s="23" t="n">
        <f aca="false">S53-S48+S51</f>
        <v>3423.1701248033</v>
      </c>
      <c r="T54" s="23" t="n">
        <f aca="false">T53-T48+T51</f>
        <v>-4856.23555214119</v>
      </c>
      <c r="U54" s="23" t="n">
        <f aca="false">U53-U48+U51</f>
        <v>-6072.55494426818</v>
      </c>
      <c r="V54" s="23" t="n">
        <f aca="false">V53-V48+V51</f>
        <v>-9865.36482941225</v>
      </c>
      <c r="W54" s="23" t="n">
        <f aca="false">W53-W48+W51</f>
        <v>-7493.25256453979</v>
      </c>
      <c r="X54" s="23" t="n">
        <f aca="false">X53-X48+X51</f>
        <v>-7857.34082126541</v>
      </c>
      <c r="Y54" s="23" t="n">
        <f aca="false">Y53-Y48+Y51</f>
        <v>-6499.22420298029</v>
      </c>
      <c r="Z54" s="23" t="n">
        <f aca="false">Z53-Z48+Z51</f>
        <v>-4865.95744655249</v>
      </c>
      <c r="AA54" s="23" t="n">
        <f aca="false">AA53-AA48+AA51</f>
        <v>-9418.41891898458</v>
      </c>
      <c r="AB54" s="23" t="n">
        <f aca="false">AB53-AB48+AB51</f>
        <v>-2708.96502665487</v>
      </c>
      <c r="AC54" s="23" t="n">
        <f aca="false">AC53-AC48+AC51</f>
        <v>-6083.06152425039</v>
      </c>
      <c r="AD54" s="23" t="n">
        <f aca="false">AD53-AD48+AD51</f>
        <v>-10846.9327413625</v>
      </c>
      <c r="AE54" s="23" t="n">
        <f aca="false">AE53-AE48+AE51</f>
        <v>2158.24782235435</v>
      </c>
      <c r="AF54" s="23" t="n">
        <f aca="false">AF53-AF48+AF51</f>
        <v>3208.60426613095</v>
      </c>
      <c r="AG54" s="23" t="n">
        <f aca="false">AG53-AG48+AG51</f>
        <v>1107.93258819388</v>
      </c>
      <c r="AH54" s="23" t="n">
        <f aca="false">AH53-AH48+AH51</f>
        <v>-5305.39111170386</v>
      </c>
      <c r="AI54" s="23" t="n">
        <f aca="false">AI53-AI48+AI51</f>
        <v>-1450.25013481538</v>
      </c>
      <c r="AJ54" s="23" t="n">
        <f aca="false">AJ53-AJ48+AJ51</f>
        <v>-2164.68069836928</v>
      </c>
      <c r="AK54" s="23" t="n">
        <f aca="false">AK53-AK48+AK51</f>
        <v>-73.618112664555</v>
      </c>
      <c r="AL54" s="23" t="n">
        <f aca="false">AL53-AL48+AL51</f>
        <v>2471.3006962617</v>
      </c>
      <c r="AM54" s="23" t="n">
        <f aca="false">AM53-AM48+AM51</f>
        <v>-5280.32027296655</v>
      </c>
      <c r="AN54" s="23" t="n">
        <f aca="false">AN53-AN48+AN51</f>
        <v>5876.76343538035</v>
      </c>
    </row>
    <row r="55" customFormat="false" ht="15" hidden="false" customHeight="false" outlineLevel="0" collapsed="false">
      <c r="A55" s="3" t="s">
        <v>190</v>
      </c>
      <c r="C55" s="23" t="s">
        <v>153</v>
      </c>
      <c r="D55" s="23" t="s">
        <v>153</v>
      </c>
      <c r="E55" s="23" t="s">
        <v>153</v>
      </c>
      <c r="F55" s="23" t="s">
        <v>153</v>
      </c>
      <c r="G55" s="23" t="s">
        <v>153</v>
      </c>
      <c r="H55" s="23" t="s">
        <v>153</v>
      </c>
      <c r="I55" s="23" t="s">
        <v>153</v>
      </c>
      <c r="J55" s="23" t="s">
        <v>153</v>
      </c>
      <c r="K55" s="23" t="s">
        <v>153</v>
      </c>
      <c r="L55" s="23" t="s">
        <v>153</v>
      </c>
      <c r="M55" s="23" t="s">
        <v>153</v>
      </c>
      <c r="N55" s="23" t="s">
        <v>153</v>
      </c>
      <c r="O55" s="23" t="s">
        <v>153</v>
      </c>
      <c r="P55" s="23" t="n">
        <f aca="false">Synthèse!C$23</f>
        <v>0</v>
      </c>
      <c r="Q55" s="23" t="s">
        <v>153</v>
      </c>
      <c r="R55" s="23" t="s">
        <v>153</v>
      </c>
      <c r="S55" s="23" t="s">
        <v>153</v>
      </c>
      <c r="T55" s="23" t="s">
        <v>153</v>
      </c>
      <c r="U55" s="23" t="s">
        <v>153</v>
      </c>
      <c r="V55" s="23" t="s">
        <v>153</v>
      </c>
      <c r="W55" s="23" t="s">
        <v>153</v>
      </c>
      <c r="X55" s="23" t="s">
        <v>153</v>
      </c>
      <c r="Y55" s="23" t="s">
        <v>153</v>
      </c>
      <c r="Z55" s="23" t="s">
        <v>153</v>
      </c>
      <c r="AA55" s="23" t="s">
        <v>153</v>
      </c>
      <c r="AB55" s="23" t="n">
        <f aca="false">Synthèse!D$23</f>
        <v>0</v>
      </c>
      <c r="AC55" s="23" t="s">
        <v>153</v>
      </c>
      <c r="AD55" s="23" t="s">
        <v>153</v>
      </c>
      <c r="AE55" s="23" t="s">
        <v>153</v>
      </c>
      <c r="AF55" s="23" t="s">
        <v>153</v>
      </c>
      <c r="AG55" s="23" t="s">
        <v>153</v>
      </c>
      <c r="AH55" s="23" t="s">
        <v>153</v>
      </c>
      <c r="AI55" s="23" t="s">
        <v>153</v>
      </c>
      <c r="AJ55" s="23" t="s">
        <v>153</v>
      </c>
      <c r="AK55" s="23" t="s">
        <v>153</v>
      </c>
      <c r="AL55" s="23" t="s">
        <v>153</v>
      </c>
      <c r="AM55" s="23" t="s">
        <v>153</v>
      </c>
      <c r="AN55" s="23" t="n">
        <f aca="false">Synthèse!E$23</f>
        <v>0</v>
      </c>
    </row>
    <row r="56" customFormat="false" ht="15" hidden="false" customHeight="false" outlineLevel="0" collapsed="false">
      <c r="A56" s="12" t="s">
        <v>191</v>
      </c>
      <c r="C56" s="22" t="n">
        <f aca="false">C54-C55</f>
        <v>-5500</v>
      </c>
      <c r="D56" s="22" t="n">
        <f aca="false">D54-D55</f>
        <v>-7605.55555555556</v>
      </c>
      <c r="E56" s="22" t="n">
        <f aca="false">E54-E55</f>
        <v>-11705.5555555556</v>
      </c>
      <c r="F56" s="22" t="n">
        <f aca="false">F54-F55</f>
        <v>-14930.5555555556</v>
      </c>
      <c r="G56" s="22" t="n">
        <f aca="false">G54-G55</f>
        <v>9172.54537377379</v>
      </c>
      <c r="H56" s="22" t="n">
        <f aca="false">H54-H55</f>
        <v>-11777.4161309119</v>
      </c>
      <c r="I56" s="22" t="n">
        <f aca="false">I54-I55</f>
        <v>-7595.21314749013</v>
      </c>
      <c r="J56" s="22" t="n">
        <f aca="false">J54-J55</f>
        <v>-7469.3994255368</v>
      </c>
      <c r="K56" s="22" t="n">
        <f aca="false">K54-K55</f>
        <v>-7211.88361952848</v>
      </c>
      <c r="L56" s="22" t="n">
        <f aca="false">L54-L55</f>
        <v>-6685.62666621492</v>
      </c>
      <c r="M56" s="22" t="n">
        <f aca="false">M54-M55</f>
        <v>-10381.3995053348</v>
      </c>
      <c r="N56" s="22" t="n">
        <f aca="false">N54-N55</f>
        <v>-9465.95241286929</v>
      </c>
      <c r="O56" s="22" t="n">
        <f aca="false">O54-O55</f>
        <v>-10420.5676009641</v>
      </c>
      <c r="P56" s="22" t="n">
        <f aca="false">P54-P55</f>
        <v>-7949.65564174228</v>
      </c>
      <c r="Q56" s="22" t="n">
        <f aca="false">Q54-Q55</f>
        <v>-11264.0113592271</v>
      </c>
      <c r="R56" s="22" t="n">
        <f aca="false">R54-R55</f>
        <v>-13501.4386526638</v>
      </c>
      <c r="S56" s="22" t="n">
        <f aca="false">S54-S55</f>
        <v>3423.1701248033</v>
      </c>
      <c r="T56" s="22" t="n">
        <f aca="false">T54-T55</f>
        <v>-4856.23555214119</v>
      </c>
      <c r="U56" s="22" t="n">
        <f aca="false">U54-U55</f>
        <v>-6072.55494426818</v>
      </c>
      <c r="V56" s="22" t="n">
        <f aca="false">V54-V55</f>
        <v>-9865.36482941225</v>
      </c>
      <c r="W56" s="22" t="n">
        <f aca="false">W54-W55</f>
        <v>-7493.25256453979</v>
      </c>
      <c r="X56" s="22" t="n">
        <f aca="false">X54-X55</f>
        <v>-7857.34082126541</v>
      </c>
      <c r="Y56" s="22" t="n">
        <f aca="false">Y54-Y55</f>
        <v>-6499.22420298029</v>
      </c>
      <c r="Z56" s="22" t="n">
        <f aca="false">Z54-Z55</f>
        <v>-4865.95744655249</v>
      </c>
      <c r="AA56" s="22" t="n">
        <f aca="false">AA54-AA55</f>
        <v>-9418.41891898458</v>
      </c>
      <c r="AB56" s="22" t="n">
        <f aca="false">AB54-AB55</f>
        <v>-2708.96502665487</v>
      </c>
      <c r="AC56" s="22" t="n">
        <f aca="false">AC54-AC55</f>
        <v>-6083.06152425039</v>
      </c>
      <c r="AD56" s="22" t="n">
        <f aca="false">AD54-AD55</f>
        <v>-10846.9327413625</v>
      </c>
      <c r="AE56" s="22" t="n">
        <f aca="false">AE54-AE55</f>
        <v>2158.24782235435</v>
      </c>
      <c r="AF56" s="22" t="n">
        <f aca="false">AF54-AF55</f>
        <v>3208.60426613095</v>
      </c>
      <c r="AG56" s="22" t="n">
        <f aca="false">AG54-AG55</f>
        <v>1107.93258819388</v>
      </c>
      <c r="AH56" s="22" t="n">
        <f aca="false">AH54-AH55</f>
        <v>-5305.39111170386</v>
      </c>
      <c r="AI56" s="22" t="n">
        <f aca="false">AI54-AI55</f>
        <v>-1450.25013481538</v>
      </c>
      <c r="AJ56" s="22" t="n">
        <f aca="false">AJ54-AJ55</f>
        <v>-2164.68069836928</v>
      </c>
      <c r="AK56" s="22" t="n">
        <f aca="false">AK54-AK55</f>
        <v>-73.618112664555</v>
      </c>
      <c r="AL56" s="22" t="n">
        <f aca="false">AL54-AL55</f>
        <v>2471.3006962617</v>
      </c>
      <c r="AM56" s="22" t="n">
        <f aca="false">AM54-AM55</f>
        <v>-5280.32027296655</v>
      </c>
      <c r="AN56" s="22" t="n">
        <f aca="false">AN54-AN55</f>
        <v>5876.76343538035</v>
      </c>
    </row>
    <row r="57" customFormat="false" ht="15" hidden="false" customHeight="false" outlineLevel="0" collapsed="false">
      <c r="A57" s="3" t="s">
        <v>192</v>
      </c>
      <c r="C57" s="23" t="n">
        <f aca="false">C39-C43-C46-C55+C50</f>
        <v>4500</v>
      </c>
      <c r="D57" s="23" t="n">
        <f aca="false">D39-D43-D46-D55+D50</f>
        <v>28700</v>
      </c>
      <c r="E57" s="23" t="n">
        <f aca="false">E39-E43-E46-E55+E50</f>
        <v>48400</v>
      </c>
      <c r="F57" s="23" t="n">
        <f aca="false">F39-F43-F46-F55+F50</f>
        <v>-15718.581154491</v>
      </c>
      <c r="G57" s="23" t="n">
        <f aca="false">G39-G43-G46-G55+G50</f>
        <v>128381.168845509</v>
      </c>
      <c r="H57" s="23" t="n">
        <f aca="false">H39-H43-H46-H55+H50</f>
        <v>-12572.156154491</v>
      </c>
      <c r="I57" s="23" t="n">
        <f aca="false">I39-I43-I46-I55+I50</f>
        <v>-8393.329279491</v>
      </c>
      <c r="J57" s="23" t="n">
        <f aca="false">J39-J43-J46-J55+J50</f>
        <v>-8270.904326366</v>
      </c>
      <c r="K57" s="23" t="n">
        <f aca="false">K39-K43-K46-K55+K50</f>
        <v>-8016.78999706912</v>
      </c>
      <c r="L57" s="23" t="n">
        <f aca="false">L39-L43-L46-L55+L50</f>
        <v>-7493.94727600467</v>
      </c>
      <c r="M57" s="23" t="n">
        <f aca="false">M39-M43-M46-M55+M50</f>
        <v>-13915.3693729668</v>
      </c>
      <c r="N57" s="23" t="n">
        <f aca="false">N39-N43-N46-N55+N50</f>
        <v>-10203.3621675049</v>
      </c>
      <c r="O57" s="23" t="n">
        <f aca="false">O39-O43-O46-O55+O50</f>
        <v>-11161.4301421796</v>
      </c>
      <c r="P57" s="23" t="n">
        <f aca="false">P39-P43-P46-P55+P50</f>
        <v>-8693.98391748737</v>
      </c>
      <c r="Q57" s="23" t="n">
        <f aca="false">Q39-Q43-Q46-Q55+Q50</f>
        <v>-12011.8183660063</v>
      </c>
      <c r="R57" s="23" t="n">
        <f aca="false">R39-R43-R46-R55+R50</f>
        <v>-14252.7374357184</v>
      </c>
      <c r="S57" s="23" t="n">
        <f aca="false">S39-S43-S46-S55+S50</f>
        <v>2668.36647131229</v>
      </c>
      <c r="T57" s="23" t="n">
        <f aca="false">T39-T43-T46-T55+T50</f>
        <v>-5614.55721933279</v>
      </c>
      <c r="U57" s="23" t="n">
        <f aca="false">U39-U43-U46-U55+U50</f>
        <v>-6834.40781771174</v>
      </c>
      <c r="V57" s="23" t="n">
        <f aca="false">V39-V43-V46-V55+V50</f>
        <v>-10630.7621511312</v>
      </c>
      <c r="W57" s="23" t="n">
        <f aca="false">W39-W43-W46-W55+W50</f>
        <v>-8262.20762621522</v>
      </c>
      <c r="X57" s="23" t="n">
        <f aca="false">X39-X43-X46-X55+X50</f>
        <v>-8629.86696442211</v>
      </c>
      <c r="Y57" s="23" t="n">
        <f aca="false">Y39-Y43-Y46-Y55+Y50</f>
        <v>-7275.33481917384</v>
      </c>
      <c r="Z57" s="23" t="n">
        <f aca="false">Z39-Z43-Z46-Z55+Z50</f>
        <v>-5645.66597755677</v>
      </c>
      <c r="AA57" s="23" t="n">
        <f aca="false">AA39-AA43-AA46-AA55+AA50</f>
        <v>-10201.7388569801</v>
      </c>
      <c r="AB57" s="23" t="n">
        <f aca="false">AB39-AB43-AB46-AB55+AB50</f>
        <v>-3495.90991441789</v>
      </c>
      <c r="AC57" s="23" t="n">
        <f aca="false">AC39-AC43-AC46-AC55+AC50</f>
        <v>-6873.64495534252</v>
      </c>
      <c r="AD57" s="23" t="n">
        <f aca="false">AD39-AD43-AD46-AD55+AD50</f>
        <v>-11641.1683603212</v>
      </c>
      <c r="AE57" s="23" t="n">
        <f aca="false">AE39-AE43-AE46-AE55+AE50</f>
        <v>1360.34631982453</v>
      </c>
      <c r="AF57" s="23" t="n">
        <f aca="false">AF39-AF43-AF46-AF55+AF50</f>
        <v>2407.02313296664</v>
      </c>
      <c r="AG57" s="23" t="n">
        <f aca="false">AG39-AG43-AG46-AG55+AG50</f>
        <v>302.658025780202</v>
      </c>
      <c r="AH57" s="23" t="n">
        <f aca="false">AH39-AH43-AH46-AH55+AH50</f>
        <v>-6114.37295372658</v>
      </c>
      <c r="AI57" s="23" t="n">
        <f aca="false">AI39-AI43-AI46-AI55+AI50</f>
        <v>-2262.9531587457</v>
      </c>
      <c r="AJ57" s="23" t="n">
        <f aca="false">AJ39-AJ43-AJ46-AJ55+AJ50</f>
        <v>-2981.11885863933</v>
      </c>
      <c r="AK57" s="23" t="n">
        <f aca="false">AK39-AK43-AK46-AK55+AK50</f>
        <v>-893.805416035619</v>
      </c>
      <c r="AL57" s="23" t="n">
        <f aca="false">AL39-AL43-AL46-AL55+AL50</f>
        <v>1647.350190503</v>
      </c>
      <c r="AM57" s="23" t="n">
        <f aca="false">AM39-AM43-AM46-AM55+AM50</f>
        <v>-6108.04809312186</v>
      </c>
      <c r="AN57" s="23" t="n">
        <f aca="false">AN39-AN43-AN46-AN55+AN50</f>
        <v>4939.68858034391</v>
      </c>
    </row>
    <row r="58" customFormat="false" ht="15" hidden="false" customHeight="false" outlineLevel="0" collapsed="false">
      <c r="A58" s="24" t="s">
        <v>193</v>
      </c>
      <c r="C58" s="25" t="n">
        <f aca="false">0+C57</f>
        <v>4500</v>
      </c>
      <c r="D58" s="25" t="n">
        <f aca="false">C58+D57</f>
        <v>33200</v>
      </c>
      <c r="E58" s="25" t="n">
        <f aca="false">D58+E57</f>
        <v>81600</v>
      </c>
      <c r="F58" s="25" t="n">
        <f aca="false">E58+F57</f>
        <v>65881.418845509</v>
      </c>
      <c r="G58" s="25" t="n">
        <f aca="false">F58+G57</f>
        <v>194262.587691018</v>
      </c>
      <c r="H58" s="25" t="n">
        <f aca="false">G58+H57</f>
        <v>181690.431536527</v>
      </c>
      <c r="I58" s="25" t="n">
        <f aca="false">H58+I57</f>
        <v>173297.102257036</v>
      </c>
      <c r="J58" s="25" t="n">
        <f aca="false">I58+J57</f>
        <v>165026.19793067</v>
      </c>
      <c r="K58" s="25" t="n">
        <f aca="false">J58+K57</f>
        <v>157009.407933601</v>
      </c>
      <c r="L58" s="25" t="n">
        <f aca="false">K58+L57</f>
        <v>149515.460657596</v>
      </c>
      <c r="M58" s="25" t="n">
        <f aca="false">L58+M57</f>
        <v>135600.091284629</v>
      </c>
      <c r="N58" s="25" t="n">
        <f aca="false">M58+N57</f>
        <v>125396.729117124</v>
      </c>
      <c r="O58" s="25" t="n">
        <f aca="false">N58+O57</f>
        <v>114235.298974945</v>
      </c>
      <c r="P58" s="25" t="n">
        <f aca="false">O58+P57</f>
        <v>105541.315057457</v>
      </c>
      <c r="Q58" s="25" t="n">
        <f aca="false">P58+Q57</f>
        <v>93529.4966914512</v>
      </c>
      <c r="R58" s="25" t="n">
        <f aca="false">Q58+R57</f>
        <v>79276.7592557328</v>
      </c>
      <c r="S58" s="25" t="n">
        <f aca="false">R58+S57</f>
        <v>81945.1257270451</v>
      </c>
      <c r="T58" s="25" t="n">
        <f aca="false">S58+T57</f>
        <v>76330.5685077123</v>
      </c>
      <c r="U58" s="25" t="n">
        <f aca="false">T58+U57</f>
        <v>69496.1606900006</v>
      </c>
      <c r="V58" s="25" t="n">
        <f aca="false">U58+V57</f>
        <v>58865.3985388694</v>
      </c>
      <c r="W58" s="25" t="n">
        <f aca="false">V58+W57</f>
        <v>50603.1909126541</v>
      </c>
      <c r="X58" s="25" t="n">
        <f aca="false">W58+X57</f>
        <v>41973.323948232</v>
      </c>
      <c r="Y58" s="25" t="n">
        <f aca="false">X58+Y57</f>
        <v>34697.9891290582</v>
      </c>
      <c r="Z58" s="25" t="n">
        <f aca="false">Y58+Z57</f>
        <v>29052.3231515014</v>
      </c>
      <c r="AA58" s="25" t="n">
        <f aca="false">Z58+AA57</f>
        <v>18850.5842945213</v>
      </c>
      <c r="AB58" s="25" t="n">
        <f aca="false">AA58+AB57</f>
        <v>15354.6743801034</v>
      </c>
      <c r="AC58" s="25" t="n">
        <f aca="false">AB58+AC57</f>
        <v>8481.02942476089</v>
      </c>
      <c r="AD58" s="25" t="n">
        <f aca="false">AC58+AD57</f>
        <v>-3160.13893556034</v>
      </c>
      <c r="AE58" s="25" t="n">
        <f aca="false">AD58+AE57</f>
        <v>-1799.79261573582</v>
      </c>
      <c r="AF58" s="25" t="n">
        <f aca="false">AE58+AF57</f>
        <v>607.230517230823</v>
      </c>
      <c r="AG58" s="25" t="n">
        <f aca="false">AF58+AG57</f>
        <v>909.888543011025</v>
      </c>
      <c r="AH58" s="25" t="n">
        <f aca="false">AG58+AH57</f>
        <v>-5204.48441071556</v>
      </c>
      <c r="AI58" s="25" t="n">
        <f aca="false">AH58+AI57</f>
        <v>-7467.43756946125</v>
      </c>
      <c r="AJ58" s="25" t="n">
        <f aca="false">AI58+AJ57</f>
        <v>-10448.5564281006</v>
      </c>
      <c r="AK58" s="25" t="n">
        <f aca="false">AJ58+AK57</f>
        <v>-11342.3618441362</v>
      </c>
      <c r="AL58" s="25" t="n">
        <f aca="false">AK58+AL57</f>
        <v>-9695.01165363321</v>
      </c>
      <c r="AM58" s="25" t="n">
        <f aca="false">AL58+AM57</f>
        <v>-15803.0597467551</v>
      </c>
      <c r="AN58" s="25" t="n">
        <f aca="false">AM58+AN57</f>
        <v>-10863.3711664111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194</v>
      </c>
    </row>
    <row r="4" customFormat="false" ht="23.85" hidden="false" customHeight="false" outlineLevel="0" collapsed="false">
      <c r="A4" s="5" t="s">
        <v>195</v>
      </c>
      <c r="B4" s="27" t="s">
        <v>196</v>
      </c>
      <c r="C4" s="27" t="s">
        <v>54</v>
      </c>
      <c r="D4" s="27" t="s">
        <v>55</v>
      </c>
      <c r="E4" s="27" t="s">
        <v>56</v>
      </c>
    </row>
    <row r="5" customFormat="false" ht="15" hidden="false" customHeight="false" outlineLevel="0" collapsed="false">
      <c r="A5" s="3" t="s">
        <v>197</v>
      </c>
      <c r="B5" s="23" t="n">
        <f aca="false">SUMIF(Mensuel!$C$4:$AN$4,2026,Mensuel!$C$16:$AN$16)</f>
        <v>0</v>
      </c>
      <c r="C5" s="23" t="n">
        <f aca="false">SUMIF(Mensuel!$C$4:$AN$4,2027,Mensuel!$C$16:$AN$16)</f>
        <v>9423.26916436344</v>
      </c>
      <c r="D5" s="23" t="n">
        <f aca="false">SUMIF(Mensuel!$C$4:$AN$4,2028,Mensuel!$C$16:$AN$16)</f>
        <v>88957.6480681533</v>
      </c>
      <c r="E5" s="23" t="n">
        <f aca="false">SUMIF(Mensuel!$C$4:$AN$4,2029,Mensuel!$C$16:$AN$16)</f>
        <v>203660.645304455</v>
      </c>
    </row>
    <row r="6" customFormat="false" ht="15" hidden="false" customHeight="false" outlineLevel="0" collapsed="false">
      <c r="A6" s="3" t="s">
        <v>151</v>
      </c>
      <c r="B6" s="23" t="n">
        <f aca="false">SUMIF(Mensuel!$C$4:$AN$4,2026,Mensuel!$C$17:$AN$17)</f>
        <v>0</v>
      </c>
      <c r="C6" s="23" t="n">
        <f aca="false">SUMIF(Mensuel!$C$4:$AN$4,2027,Mensuel!$C$17:$AN$17)</f>
        <v>5850</v>
      </c>
      <c r="D6" s="23" t="n">
        <f aca="false">SUMIF(Mensuel!$C$4:$AN$4,2028,Mensuel!$C$17:$AN$17)</f>
        <v>31200</v>
      </c>
      <c r="E6" s="23" t="n">
        <f aca="false">SUMIF(Mensuel!$C$4:$AN$4,2029,Mensuel!$C$17:$AN$17)</f>
        <v>50700</v>
      </c>
    </row>
    <row r="7" customFormat="false" ht="15" hidden="false" customHeight="false" outlineLevel="0" collapsed="false">
      <c r="A7" s="3" t="s">
        <v>152</v>
      </c>
      <c r="B7" s="23" t="n">
        <f aca="false">SUMIF(Mensuel!$C$4:$AN$4,2026,Mensuel!$C$18:$AN$18)</f>
        <v>0</v>
      </c>
      <c r="C7" s="23" t="n">
        <f aca="false">SUMIF(Mensuel!$C$4:$AN$4,2027,Mensuel!$C$18:$AN$18)</f>
        <v>218.374271669974</v>
      </c>
      <c r="D7" s="23" t="n">
        <f aca="false">SUMIF(Mensuel!$C$4:$AN$4,2028,Mensuel!$C$18:$AN$18)</f>
        <v>2616.40141376921</v>
      </c>
      <c r="E7" s="23" t="n">
        <f aca="false">SUMIF(Mensuel!$C$4:$AN$4,2029,Mensuel!$C$18:$AN$18)</f>
        <v>7701.45297369788</v>
      </c>
    </row>
    <row r="8" customFormat="false" ht="15" hidden="false" customHeight="false" outlineLevel="0" collapsed="false">
      <c r="A8" s="3" t="s">
        <v>154</v>
      </c>
      <c r="B8" s="23" t="n">
        <f aca="false">SUMIF(Mensuel!$C$4:$AN$4,2026,Mensuel!$C$19:$AN$19)</f>
        <v>0</v>
      </c>
      <c r="C8" s="23" t="n">
        <f aca="false">SUMIF(Mensuel!$C$4:$AN$4,2027,Mensuel!$C$19:$AN$19)</f>
        <v>5625</v>
      </c>
      <c r="D8" s="23" t="n">
        <f aca="false">SUMIF(Mensuel!$C$4:$AN$4,2028,Mensuel!$C$19:$AN$19)</f>
        <v>18000</v>
      </c>
      <c r="E8" s="23" t="n">
        <f aca="false">SUMIF(Mensuel!$C$4:$AN$4,2029,Mensuel!$C$19:$AN$19)</f>
        <v>29250</v>
      </c>
    </row>
    <row r="9" customFormat="false" ht="15" hidden="false" customHeight="false" outlineLevel="0" collapsed="false">
      <c r="A9" s="24" t="s">
        <v>198</v>
      </c>
      <c r="B9" s="25" t="n">
        <f aca="false">SUMIF(Mensuel!$C$4:$AN$4,2026,Mensuel!$C$20:$AN$20)</f>
        <v>0</v>
      </c>
      <c r="C9" s="25" t="n">
        <f aca="false">SUMIF(Mensuel!$C$4:$AN$4,2027,Mensuel!$C$20:$AN$20)</f>
        <v>21116.6434360334</v>
      </c>
      <c r="D9" s="25" t="n">
        <f aca="false">SUMIF(Mensuel!$C$4:$AN$4,2028,Mensuel!$C$20:$AN$20)</f>
        <v>140774.049481923</v>
      </c>
      <c r="E9" s="25" t="n">
        <f aca="false">SUMIF(Mensuel!$C$4:$AN$4,2029,Mensuel!$C$20:$AN$20)</f>
        <v>291312.098278153</v>
      </c>
    </row>
    <row r="10" customFormat="false" ht="15" hidden="false" customHeight="false" outlineLevel="0" collapsed="false">
      <c r="A10" s="3" t="s">
        <v>199</v>
      </c>
      <c r="B10" s="23" t="n">
        <f aca="false">SUMIF(Mensuel!$C$4:$AN$4,2026,Mensuel!$C$22:$AN$22)+SUMIF(Mensuel!$C$4:$AN$4,2026,Mensuel!$C$23:$AN$23)</f>
        <v>0</v>
      </c>
      <c r="C10" s="23" t="n">
        <f aca="false">SUMIF(Mensuel!$C$4:$AN$4,2027,Mensuel!$C$22:$AN$22)+SUMIF(Mensuel!$C$4:$AN$4,2027,Mensuel!$C$23:$AN$23)</f>
        <v>3920.93567917493</v>
      </c>
      <c r="D10" s="23" t="n">
        <f aca="false">SUMIF(Mensuel!$C$4:$AN$4,2028,Mensuel!$C$22:$AN$22)+SUMIF(Mensuel!$C$4:$AN$4,2028,Mensuel!$C$23:$AN$23)</f>
        <v>14537.7163053846</v>
      </c>
      <c r="E10" s="23" t="n">
        <f aca="false">SUMIF(Mensuel!$C$4:$AN$4,2029,Mensuel!$C$22:$AN$22)+SUMIF(Mensuel!$C$4:$AN$4,2029,Mensuel!$C$23:$AN$23)</f>
        <v>26107.1699707754</v>
      </c>
    </row>
    <row r="11" customFormat="false" ht="15" hidden="false" customHeight="false" outlineLevel="0" collapsed="false">
      <c r="A11" s="12" t="s">
        <v>200</v>
      </c>
      <c r="B11" s="22" t="n">
        <f aca="false">SUMIF(Mensuel!$C$4:$AN$4,2026,Mensuel!$C$24:$AN$24)</f>
        <v>0</v>
      </c>
      <c r="C11" s="22" t="n">
        <f aca="false">SUMIF(Mensuel!$C$4:$AN$4,2027,Mensuel!$C$24:$AN$24)</f>
        <v>17195.7077568585</v>
      </c>
      <c r="D11" s="22" t="n">
        <f aca="false">SUMIF(Mensuel!$C$4:$AN$4,2028,Mensuel!$C$24:$AN$24)</f>
        <v>126236.333176538</v>
      </c>
      <c r="E11" s="22" t="n">
        <f aca="false">SUMIF(Mensuel!$C$4:$AN$4,2029,Mensuel!$C$24:$AN$24)</f>
        <v>265204.928307377</v>
      </c>
    </row>
    <row r="12" customFormat="false" ht="15" hidden="false" customHeight="false" outlineLevel="0" collapsed="false">
      <c r="A12" s="3" t="s">
        <v>201</v>
      </c>
      <c r="B12" s="11" t="n">
        <f aca="false">IF(B9=0,0,B11/B9)</f>
        <v>0</v>
      </c>
      <c r="C12" s="11" t="n">
        <f aca="false">IF(C9=0,0,C11/C9)</f>
        <v>0.814320126631288</v>
      </c>
      <c r="D12" s="11" t="n">
        <f aca="false">IF(D9=0,0,D11/D9)</f>
        <v>0.896730140541624</v>
      </c>
      <c r="E12" s="11" t="n">
        <f aca="false">IF(E9=0,0,E11/E9)</f>
        <v>0.910380756154358</v>
      </c>
    </row>
    <row r="13" customFormat="false" ht="15" hidden="false" customHeight="false" outlineLevel="0" collapsed="false">
      <c r="A13" s="3" t="s">
        <v>202</v>
      </c>
      <c r="B13" s="23" t="n">
        <f aca="false">SUMIF(Mensuel!$C$4:$AN$4,2026,Mensuel!$C$33:$AN$33)</f>
        <v>0</v>
      </c>
      <c r="C13" s="23" t="n">
        <f aca="false">SUMIF(Mensuel!$C$4:$AN$4,2027,Mensuel!$C$33:$AN$33)</f>
        <v>74600</v>
      </c>
      <c r="D13" s="23" t="n">
        <f aca="false">SUMIF(Mensuel!$C$4:$AN$4,2028,Mensuel!$C$33:$AN$33)</f>
        <v>145800</v>
      </c>
      <c r="E13" s="23" t="n">
        <f aca="false">SUMIF(Mensuel!$C$4:$AN$4,2029,Mensuel!$C$33:$AN$33)</f>
        <v>171000</v>
      </c>
    </row>
    <row r="14" customFormat="false" ht="15" hidden="false" customHeight="false" outlineLevel="0" collapsed="false">
      <c r="A14" s="3" t="s">
        <v>203</v>
      </c>
      <c r="B14" s="23" t="n">
        <f aca="false">SUMIF(Mensuel!$C$4:$AN$4,2026,Mensuel!$C$34:$AN$34)+SUMIF(Mensuel!$C$4:$AN$4,2026,Mensuel!$C$35:$AN$35)</f>
        <v>5000</v>
      </c>
      <c r="C14" s="23" t="n">
        <f aca="false">SUMIF(Mensuel!$C$4:$AN$4,2027,Mensuel!$C$34:$AN$34)+SUMIF(Mensuel!$C$4:$AN$4,2027,Mensuel!$C$35:$AN$35)</f>
        <v>29400</v>
      </c>
      <c r="D14" s="23" t="n">
        <f aca="false">SUMIF(Mensuel!$C$4:$AN$4,2028,Mensuel!$C$34:$AN$34)+SUMIF(Mensuel!$C$4:$AN$4,2028,Mensuel!$C$35:$AN$35)</f>
        <v>4800</v>
      </c>
      <c r="E14" s="23" t="n">
        <f aca="false">SUMIF(Mensuel!$C$4:$AN$4,2029,Mensuel!$C$34:$AN$34)+SUMIF(Mensuel!$C$4:$AN$4,2029,Mensuel!$C$35:$AN$35)</f>
        <v>7200</v>
      </c>
    </row>
    <row r="15" customFormat="false" ht="15" hidden="false" customHeight="false" outlineLevel="0" collapsed="false">
      <c r="A15" s="3" t="s">
        <v>204</v>
      </c>
      <c r="B15" s="23" t="n">
        <f aca="false">SUMIF(Mensuel!$C$4:$AN$4,2026,Mensuel!$C$36:$AN$36)</f>
        <v>0</v>
      </c>
      <c r="C15" s="23" t="n">
        <f aca="false">SUMIF(Mensuel!$C$4:$AN$4,2027,Mensuel!$C$36:$AN$36)</f>
        <v>17750</v>
      </c>
      <c r="D15" s="23" t="n">
        <f aca="false">SUMIF(Mensuel!$C$4:$AN$4,2028,Mensuel!$C$36:$AN$36)</f>
        <v>43800</v>
      </c>
      <c r="E15" s="23" t="n">
        <f aca="false">SUMIF(Mensuel!$C$4:$AN$4,2029,Mensuel!$C$36:$AN$36)</f>
        <v>73300</v>
      </c>
    </row>
    <row r="16" customFormat="false" ht="15" hidden="false" customHeight="false" outlineLevel="0" collapsed="false">
      <c r="A16" s="3" t="s">
        <v>205</v>
      </c>
      <c r="B16" s="23" t="n">
        <f aca="false">SUMIF(Mensuel!$C$4:$AN$4,2026,Mensuel!$C$37:$AN$37)</f>
        <v>8000</v>
      </c>
      <c r="C16" s="23" t="n">
        <f aca="false">SUMIF(Mensuel!$C$4:$AN$4,2027,Mensuel!$C$37:$AN$37)</f>
        <v>9000</v>
      </c>
      <c r="D16" s="23" t="n">
        <f aca="false">SUMIF(Mensuel!$C$4:$AN$4,2028,Mensuel!$C$37:$AN$37)</f>
        <v>17600</v>
      </c>
      <c r="E16" s="23" t="n">
        <f aca="false">SUMIF(Mensuel!$C$4:$AN$4,2029,Mensuel!$C$37:$AN$37)</f>
        <v>26500</v>
      </c>
    </row>
    <row r="17" customFormat="false" ht="15" hidden="false" customHeight="false" outlineLevel="0" collapsed="false">
      <c r="A17" s="24" t="s">
        <v>174</v>
      </c>
      <c r="B17" s="25" t="n">
        <f aca="false">SUMIF(Mensuel!$C$4:$AN$4,2026,Mensuel!$C$39:$AN$39)</f>
        <v>-13000</v>
      </c>
      <c r="C17" s="25" t="n">
        <f aca="false">SUMIF(Mensuel!$C$4:$AN$4,2027,Mensuel!$C$39:$AN$39)</f>
        <v>-113554.292243142</v>
      </c>
      <c r="D17" s="25" t="n">
        <f aca="false">SUMIF(Mensuel!$C$4:$AN$4,2028,Mensuel!$C$39:$AN$39)</f>
        <v>-85763.6668234621</v>
      </c>
      <c r="E17" s="25" t="n">
        <f aca="false">SUMIF(Mensuel!$C$4:$AN$4,2029,Mensuel!$C$39:$AN$39)</f>
        <v>-12795.0716926226</v>
      </c>
    </row>
    <row r="18" customFormat="false" ht="15" hidden="false" customHeight="false" outlineLevel="0" collapsed="false">
      <c r="A18" s="3" t="s">
        <v>206</v>
      </c>
      <c r="B18" s="23" t="n">
        <f aca="false">SUMIF(Mensuel!$C$4:$AN$4,2026,Mensuel!$C$44:$AN$44)</f>
        <v>105.555555555556</v>
      </c>
      <c r="C18" s="23" t="n">
        <f aca="false">SUMIF(Mensuel!$C$4:$AN$4,2027,Mensuel!$C$44:$AN$44)</f>
        <v>1577.77777777778</v>
      </c>
      <c r="D18" s="23" t="n">
        <f aca="false">SUMIF(Mensuel!$C$4:$AN$4,2028,Mensuel!$C$44:$AN$44)</f>
        <v>2200</v>
      </c>
      <c r="E18" s="23" t="n">
        <f aca="false">SUMIF(Mensuel!$C$4:$AN$4,2029,Mensuel!$C$44:$AN$44)</f>
        <v>2094.44444444444</v>
      </c>
    </row>
    <row r="19" customFormat="false" ht="15" hidden="false" customHeight="false" outlineLevel="0" collapsed="false">
      <c r="A19" s="3" t="s">
        <v>207</v>
      </c>
      <c r="B19" s="23" t="n">
        <f aca="false">SUMIF(Mensuel!$C$4:$AN$4,2026,Mensuel!$C$48:$AN$48)</f>
        <v>0</v>
      </c>
      <c r="C19" s="23" t="n">
        <f aca="false">SUMIF(Mensuel!$C$4:$AN$4,2027,Mensuel!$C$48:$AN$48)</f>
        <v>2288.60986701068</v>
      </c>
      <c r="D19" s="23" t="n">
        <f aca="false">SUMIF(Mensuel!$C$4:$AN$4,2028,Mensuel!$C$48:$AN$48)</f>
        <v>2015.92737042465</v>
      </c>
      <c r="E19" s="23" t="n">
        <f aca="false">SUMIF(Mensuel!$C$4:$AN$4,2029,Mensuel!$C$48:$AN$48)</f>
        <v>1491.88965074428</v>
      </c>
    </row>
    <row r="20" customFormat="false" ht="15" hidden="false" customHeight="false" outlineLevel="0" collapsed="false">
      <c r="A20" s="3" t="s">
        <v>208</v>
      </c>
      <c r="B20" s="23" t="n">
        <f aca="false">SUMIF(Mensuel!$C$4:$AN$4,2026,Mensuel!$C$51:$AN$51)</f>
        <v>0</v>
      </c>
      <c r="C20" s="23" t="n">
        <f aca="false">SUMIF(Mensuel!$C$4:$AN$4,2027,Mensuel!$C$51:$AN$51)</f>
        <v>21000</v>
      </c>
      <c r="D20" s="23" t="n">
        <f aca="false">SUMIF(Mensuel!$C$4:$AN$4,2028,Mensuel!$C$51:$AN$51)</f>
        <v>9000</v>
      </c>
      <c r="E20" s="23" t="n">
        <f aca="false">SUMIF(Mensuel!$C$4:$AN$4,2029,Mensuel!$C$51:$AN$51)</f>
        <v>0</v>
      </c>
    </row>
    <row r="21" customFormat="false" ht="15" hidden="false" customHeight="false" outlineLevel="0" collapsed="false">
      <c r="A21" s="12" t="s">
        <v>209</v>
      </c>
      <c r="B21" s="22" t="n">
        <f aca="false">SUMIF(Mensuel!$C$4:$AN$4,2026,Mensuel!$C$54:$AN$54)</f>
        <v>-13105.5555555556</v>
      </c>
      <c r="C21" s="22" t="n">
        <f aca="false">SUMIF(Mensuel!$C$4:$AN$4,2027,Mensuel!$C$54:$AN$54)</f>
        <v>-96420.67988793</v>
      </c>
      <c r="D21" s="22" t="n">
        <f aca="false">SUMIF(Mensuel!$C$4:$AN$4,2028,Mensuel!$C$54:$AN$54)</f>
        <v>-80979.5941938868</v>
      </c>
      <c r="E21" s="22" t="n">
        <f aca="false">SUMIF(Mensuel!$C$4:$AN$4,2029,Mensuel!$C$54:$AN$54)</f>
        <v>-16381.4057878113</v>
      </c>
    </row>
    <row r="22" customFormat="false" ht="15" hidden="false" customHeight="false" outlineLevel="0" collapsed="false">
      <c r="A22" s="3" t="s">
        <v>210</v>
      </c>
      <c r="B22" s="23" t="s">
        <v>153</v>
      </c>
      <c r="C22" s="23" t="n">
        <f aca="false">B21+C21</f>
        <v>-109526.235443486</v>
      </c>
      <c r="D22" s="23" t="n">
        <f aca="false">MIN(0,C22)+D21</f>
        <v>-190505.829637372</v>
      </c>
      <c r="E22" s="23" t="n">
        <f aca="false">MIN(0,D22)+E21</f>
        <v>-206887.235425184</v>
      </c>
    </row>
    <row r="23" customFormat="false" ht="15" hidden="false" customHeight="false" outlineLevel="0" collapsed="false">
      <c r="A23" s="3" t="s">
        <v>211</v>
      </c>
      <c r="B23" s="23" t="s">
        <v>153</v>
      </c>
      <c r="C23" s="23" t="n">
        <f aca="false">IF(C22&lt;=0,0,MIN(C22,42500)*Hypothèses!$B$82+MAX(0,C22-42500)*Hypothèses!$B$83)</f>
        <v>0</v>
      </c>
      <c r="D23" s="23" t="n">
        <f aca="false">IF(D22&lt;=0,0,MIN(D22,42500)*Hypothèses!$B$82+MAX(0,D22-42500)*Hypothèses!$B$83)</f>
        <v>0</v>
      </c>
      <c r="E23" s="23" t="n">
        <f aca="false">IF(E22&lt;=0,0,MIN(E22,42500)*Hypothèses!$B$82+MAX(0,E22-42500)*Hypothèses!$B$83)</f>
        <v>0</v>
      </c>
    </row>
    <row r="24" customFormat="false" ht="15" hidden="false" customHeight="false" outlineLevel="0" collapsed="false">
      <c r="A24" s="24" t="s">
        <v>191</v>
      </c>
      <c r="B24" s="25" t="n">
        <f aca="false">B21-B23</f>
        <v>-13105.5555555556</v>
      </c>
      <c r="C24" s="25" t="n">
        <f aca="false">C21-C23</f>
        <v>-96420.67988793</v>
      </c>
      <c r="D24" s="25" t="n">
        <f aca="false">D21-D23</f>
        <v>-80979.5941938868</v>
      </c>
      <c r="E24" s="25" t="n">
        <f aca="false">E21-E23</f>
        <v>-16381.4057878113</v>
      </c>
    </row>
    <row r="26" customFormat="false" ht="23.85" hidden="false" customHeight="false" outlineLevel="0" collapsed="false">
      <c r="A26" s="5" t="s">
        <v>212</v>
      </c>
      <c r="B26" s="27" t="s">
        <v>196</v>
      </c>
      <c r="C26" s="27" t="s">
        <v>54</v>
      </c>
      <c r="D26" s="27" t="s">
        <v>55</v>
      </c>
      <c r="E26" s="27" t="s">
        <v>56</v>
      </c>
    </row>
    <row r="27" customFormat="false" ht="15" hidden="false" customHeight="false" outlineLevel="0" collapsed="false">
      <c r="A27" s="3" t="s">
        <v>213</v>
      </c>
      <c r="B27" s="23" t="n">
        <f aca="false">B17-B23-B19+B20</f>
        <v>-13000</v>
      </c>
      <c r="C27" s="23" t="n">
        <f aca="false">C17-C23-C19+C20</f>
        <v>-94842.9021101522</v>
      </c>
      <c r="D27" s="23" t="n">
        <f aca="false">D17-D23-D19+D20</f>
        <v>-78779.5941938868</v>
      </c>
      <c r="E27" s="23" t="n">
        <f aca="false">E17-E23-E19+E20</f>
        <v>-14286.9613433668</v>
      </c>
    </row>
    <row r="28" customFormat="false" ht="15" hidden="false" customHeight="false" outlineLevel="0" collapsed="false">
      <c r="A28" s="3" t="s">
        <v>214</v>
      </c>
      <c r="B28" s="23" t="n">
        <f aca="false">Hypothèses!$B$73</f>
        <v>10000</v>
      </c>
      <c r="C28" s="23" t="s">
        <v>153</v>
      </c>
      <c r="D28" s="23" t="s">
        <v>153</v>
      </c>
      <c r="E28" s="23" t="s">
        <v>153</v>
      </c>
    </row>
    <row r="29" customFormat="false" ht="15" hidden="false" customHeight="false" outlineLevel="0" collapsed="false">
      <c r="A29" s="3" t="s">
        <v>215</v>
      </c>
      <c r="B29" s="23" t="n">
        <f aca="false">Hypothèses!$B$74</f>
        <v>40000</v>
      </c>
      <c r="C29" s="23" t="s">
        <v>153</v>
      </c>
      <c r="D29" s="23" t="s">
        <v>153</v>
      </c>
      <c r="E29" s="23" t="s">
        <v>153</v>
      </c>
    </row>
    <row r="30" customFormat="false" ht="15" hidden="false" customHeight="false" outlineLevel="0" collapsed="false">
      <c r="A30" s="3" t="s">
        <v>216</v>
      </c>
      <c r="B30" s="23" t="s">
        <v>153</v>
      </c>
      <c r="C30" s="23" t="n">
        <f aca="false">Hypothèses!$B$80</f>
        <v>120000</v>
      </c>
      <c r="D30" s="23" t="s">
        <v>153</v>
      </c>
      <c r="E30" s="23" t="s">
        <v>153</v>
      </c>
    </row>
    <row r="31" customFormat="false" ht="15" hidden="false" customHeight="false" outlineLevel="0" collapsed="false">
      <c r="A31" s="3" t="s">
        <v>217</v>
      </c>
      <c r="B31" s="23" t="s">
        <v>153</v>
      </c>
      <c r="C31" s="23" t="n">
        <f aca="false">Hypothèses!$B$77</f>
        <v>60000</v>
      </c>
      <c r="D31" s="23" t="s">
        <v>153</v>
      </c>
      <c r="E31" s="23" t="s">
        <v>153</v>
      </c>
    </row>
    <row r="32" customFormat="false" ht="15" hidden="false" customHeight="false" outlineLevel="0" collapsed="false">
      <c r="A32" s="12" t="s">
        <v>218</v>
      </c>
      <c r="B32" s="22" t="n">
        <f aca="false">SUM(B28:B31)</f>
        <v>50000</v>
      </c>
      <c r="C32" s="22" t="n">
        <f aca="false">SUM(C28:C31)</f>
        <v>180000</v>
      </c>
      <c r="D32" s="22" t="n">
        <f aca="false">SUM(D28:D31)</f>
        <v>0</v>
      </c>
      <c r="E32" s="22" t="n">
        <f aca="false">SUM(E28:E31)</f>
        <v>0</v>
      </c>
    </row>
    <row r="33" customFormat="false" ht="15" hidden="false" customHeight="false" outlineLevel="0" collapsed="false">
      <c r="A33" s="3" t="s">
        <v>178</v>
      </c>
      <c r="B33" s="23" t="n">
        <f aca="false">SUMIF(Mensuel!$C$4:$AN$4,2026,Mensuel!$C$43:$AN$43)</f>
        <v>3800</v>
      </c>
      <c r="C33" s="23" t="n">
        <f aca="false">SUMIF(Mensuel!$C$4:$AN$4,2027,Mensuel!$C$43:$AN$43)</f>
        <v>2800</v>
      </c>
      <c r="D33" s="23" t="n">
        <f aca="false">SUMIF(Mensuel!$C$4:$AN$4,2028,Mensuel!$C$43:$AN$43)</f>
        <v>0</v>
      </c>
      <c r="E33" s="23" t="n">
        <f aca="false">SUMIF(Mensuel!$C$4:$AN$4,2029,Mensuel!$C$43:$AN$43)</f>
        <v>0</v>
      </c>
    </row>
    <row r="34" customFormat="false" ht="15" hidden="false" customHeight="false" outlineLevel="0" collapsed="false">
      <c r="A34" s="3" t="s">
        <v>219</v>
      </c>
      <c r="B34" s="23" t="n">
        <f aca="false">SUMIF(Mensuel!$C$4:$AN$4,2026,Mensuel!$C$49:$AN$49)</f>
        <v>0</v>
      </c>
      <c r="C34" s="23" t="n">
        <f aca="false">SUMIF(Mensuel!$C$4:$AN$4,2027,Mensuel!$C$49:$AN$49)</f>
        <v>10015.7828323903</v>
      </c>
      <c r="D34" s="23" t="n">
        <f aca="false">SUMIF(Mensuel!$C$4:$AN$4,2028,Mensuel!$C$49:$AN$49)</f>
        <v>11407.0464834673</v>
      </c>
      <c r="E34" s="23" t="n">
        <f aca="false">SUMIF(Mensuel!$C$4:$AN$4,2029,Mensuel!$C$49:$AN$49)</f>
        <v>11931.0842031477</v>
      </c>
    </row>
    <row r="35" customFormat="false" ht="15" hidden="false" customHeight="false" outlineLevel="0" collapsed="false">
      <c r="A35" s="12" t="s">
        <v>220</v>
      </c>
      <c r="B35" s="22" t="n">
        <f aca="false">B33+B34</f>
        <v>3800</v>
      </c>
      <c r="C35" s="22" t="n">
        <f aca="false">C33+C34</f>
        <v>12815.7828323903</v>
      </c>
      <c r="D35" s="22" t="n">
        <f aca="false">D33+D34</f>
        <v>11407.0464834673</v>
      </c>
      <c r="E35" s="22" t="n">
        <f aca="false">E33+E34</f>
        <v>11931.0842031477</v>
      </c>
    </row>
    <row r="36" customFormat="false" ht="15" hidden="false" customHeight="false" outlineLevel="0" collapsed="false">
      <c r="A36" s="12" t="s">
        <v>221</v>
      </c>
      <c r="B36" s="22" t="n">
        <f aca="false">B27+B32-B35</f>
        <v>33200</v>
      </c>
      <c r="C36" s="22" t="n">
        <f aca="false">C27+C32-C35</f>
        <v>72341.3150574575</v>
      </c>
      <c r="D36" s="22" t="n">
        <f aca="false">D27+D32-D35</f>
        <v>-90186.6406773541</v>
      </c>
      <c r="E36" s="22" t="n">
        <f aca="false">E27+E32-E35</f>
        <v>-26218.0455465146</v>
      </c>
    </row>
    <row r="37" customFormat="false" ht="15" hidden="false" customHeight="false" outlineLevel="0" collapsed="false">
      <c r="A37" s="24" t="s">
        <v>222</v>
      </c>
      <c r="B37" s="25" t="n">
        <f aca="false">Mensuel!D58</f>
        <v>33200</v>
      </c>
      <c r="C37" s="25" t="n">
        <f aca="false">Mensuel!P58</f>
        <v>105541.315057457</v>
      </c>
      <c r="D37" s="25" t="n">
        <f aca="false">Mensuel!AB58</f>
        <v>15354.6743801034</v>
      </c>
      <c r="E37" s="25" t="n">
        <f aca="false">Mensuel!AN58</f>
        <v>-10863.3711664111</v>
      </c>
    </row>
    <row r="38" customFormat="false" ht="15" hidden="false" customHeight="false" outlineLevel="0" collapsed="false">
      <c r="A38" s="3" t="s">
        <v>223</v>
      </c>
      <c r="B38" s="23" t="n">
        <f aca="false">MIN(Mensuel!C58:D58)</f>
        <v>4500</v>
      </c>
      <c r="C38" s="23" t="n">
        <f aca="false">MIN(Mensuel!E58:P58)</f>
        <v>65881.418845509</v>
      </c>
      <c r="D38" s="23" t="n">
        <f aca="false">MIN(Mensuel!Q58:AB58)</f>
        <v>15354.6743801034</v>
      </c>
      <c r="E38" s="23" t="n">
        <f aca="false">MIN(Mensuel!AC58:AN58)</f>
        <v>-15803.0597467551</v>
      </c>
    </row>
    <row r="40" customFormat="false" ht="23.85" hidden="false" customHeight="false" outlineLevel="0" collapsed="false">
      <c r="A40" s="5" t="s">
        <v>224</v>
      </c>
      <c r="B40" s="27" t="s">
        <v>196</v>
      </c>
      <c r="C40" s="27" t="s">
        <v>54</v>
      </c>
      <c r="D40" s="27" t="s">
        <v>55</v>
      </c>
      <c r="E40" s="27" t="s">
        <v>56</v>
      </c>
    </row>
    <row r="41" customFormat="false" ht="15" hidden="false" customHeight="false" outlineLevel="0" collapsed="false">
      <c r="A41" s="3" t="s">
        <v>141</v>
      </c>
      <c r="C41" s="28" t="n">
        <f aca="false">SUMIF(Mensuel!$C$4:$AN$4,2027,Mensuel!$C$7:$AN$7)</f>
        <v>25</v>
      </c>
      <c r="D41" s="28" t="n">
        <f aca="false">SUMIF(Mensuel!$C$4:$AN$4,2028,Mensuel!$C$7:$AN$7)</f>
        <v>80</v>
      </c>
      <c r="E41" s="28" t="n">
        <f aca="false">SUMIF(Mensuel!$C$4:$AN$4,2029,Mensuel!$C$7:$AN$7)</f>
        <v>130</v>
      </c>
    </row>
    <row r="42" customFormat="false" ht="15" hidden="false" customHeight="false" outlineLevel="0" collapsed="false">
      <c r="A42" s="3" t="s">
        <v>225</v>
      </c>
      <c r="C42" s="28" t="n">
        <f aca="false">Mensuel!P9</f>
        <v>22.8413554914106</v>
      </c>
      <c r="D42" s="28" t="n">
        <f aca="false">Mensuel!AB9</f>
        <v>85.7248616176435</v>
      </c>
      <c r="E42" s="28" t="n">
        <f aca="false">Mensuel!AN9</f>
        <v>175.175272023923</v>
      </c>
    </row>
    <row r="43" customFormat="false" ht="15" hidden="false" customHeight="false" outlineLevel="0" collapsed="false">
      <c r="A43" s="3" t="s">
        <v>226</v>
      </c>
      <c r="C43" s="23" t="n">
        <f aca="false">Mensuel!P14</f>
        <v>2718.12130347786</v>
      </c>
      <c r="D43" s="23" t="n">
        <f aca="false">Mensuel!AB14</f>
        <v>10201.2585324996</v>
      </c>
      <c r="E43" s="23" t="n">
        <f aca="false">Mensuel!AN14</f>
        <v>20845.8573708469</v>
      </c>
    </row>
    <row r="44" customFormat="false" ht="15" hidden="false" customHeight="false" outlineLevel="0" collapsed="false">
      <c r="A44" s="12" t="s">
        <v>227</v>
      </c>
      <c r="C44" s="22" t="n">
        <f aca="false">C43*12</f>
        <v>32617.4556417343</v>
      </c>
      <c r="D44" s="22" t="n">
        <f aca="false">D43*12</f>
        <v>122415.102389995</v>
      </c>
      <c r="E44" s="22" t="n">
        <f aca="false">E43*12</f>
        <v>250150.288450163</v>
      </c>
    </row>
    <row r="45" customFormat="false" ht="15" hidden="false" customHeight="false" outlineLevel="0" collapsed="false">
      <c r="A45" s="3" t="s">
        <v>228</v>
      </c>
      <c r="C45" s="11" t="n">
        <f aca="false">1-(1-Hypothèses!$F$32)^12</f>
        <v>0.262001654173349</v>
      </c>
      <c r="D45" s="11" t="n">
        <f aca="false">1-(1-Hypothèses!$F$32)^12</f>
        <v>0.262001654173349</v>
      </c>
      <c r="E45" s="11" t="n">
        <f aca="false">1-(1-Hypothèses!$F$32)^12</f>
        <v>0.262001654173349</v>
      </c>
    </row>
    <row r="46" customFormat="false" ht="15" hidden="false" customHeight="false" outlineLevel="0" collapsed="false">
      <c r="A46" s="3" t="s">
        <v>229</v>
      </c>
      <c r="C46" s="23" t="n">
        <f aca="false">(C5+C7)/AVERAGE(Mensuel!E9:P9)</f>
        <v>1059.64608694614</v>
      </c>
      <c r="D46" s="23" t="n">
        <f aca="false">(D5+D7)/AVERAGE(Mensuel!Q9:AB9)</f>
        <v>1470</v>
      </c>
      <c r="E46" s="23" t="n">
        <f aca="false">(E5+E7)/AVERAGE(Mensuel!AC9:AN9)</f>
        <v>1482</v>
      </c>
    </row>
    <row r="47" customFormat="false" ht="15" hidden="false" customHeight="false" outlineLevel="0" collapsed="false">
      <c r="A47" s="3" t="s">
        <v>230</v>
      </c>
      <c r="C47" s="23" t="n">
        <f aca="false">SUMIF(Mensuel!$C$4:$AN$4,2027,Mensuel!$C$36:$AN$36)+SUMIF(Mensuel!$C$4:$AN$4,2027,Mensuel!$C$28:$AN$28)+SUMIF(Mensuel!$C$4:$AN$4,2027,Mensuel!$C$29:$AN$29)+SUMIF(Mensuel!$C$4:$AN$4,2027,Mensuel!$C$31:$AN$31)+0.5*SUMIF(Mensuel!$C$4:$AN$4,2027,Mensuel!$C$26:$AN$26)</f>
        <v>50950</v>
      </c>
      <c r="D47" s="23" t="n">
        <f aca="false">SUMIF(Mensuel!$C$4:$AN$4,2028,Mensuel!$C$36:$AN$36)+SUMIF(Mensuel!$C$4:$AN$4,2028,Mensuel!$C$28:$AN$28)+SUMIF(Mensuel!$C$4:$AN$4,2028,Mensuel!$C$29:$AN$29)+SUMIF(Mensuel!$C$4:$AN$4,2028,Mensuel!$C$31:$AN$31)+0.5*SUMIF(Mensuel!$C$4:$AN$4,2028,Mensuel!$C$26:$AN$26)</f>
        <v>124800</v>
      </c>
      <c r="E47" s="23" t="n">
        <f aca="false">SUMIF(Mensuel!$C$4:$AN$4,2029,Mensuel!$C$36:$AN$36)+SUMIF(Mensuel!$C$4:$AN$4,2029,Mensuel!$C$28:$AN$28)+SUMIF(Mensuel!$C$4:$AN$4,2029,Mensuel!$C$29:$AN$29)+SUMIF(Mensuel!$C$4:$AN$4,2029,Mensuel!$C$31:$AN$31)+0.5*SUMIF(Mensuel!$C$4:$AN$4,2029,Mensuel!$C$26:$AN$26)</f>
        <v>161500</v>
      </c>
    </row>
    <row r="48" customFormat="false" ht="15" hidden="false" customHeight="false" outlineLevel="0" collapsed="false">
      <c r="A48" s="12" t="s">
        <v>231</v>
      </c>
      <c r="C48" s="22" t="n">
        <f aca="false">C47/C41</f>
        <v>2038</v>
      </c>
      <c r="D48" s="22" t="n">
        <f aca="false">D47/D41</f>
        <v>1560</v>
      </c>
      <c r="E48" s="22" t="n">
        <f aca="false">E47/E41</f>
        <v>1242.30769230769</v>
      </c>
    </row>
    <row r="49" customFormat="false" ht="15" hidden="false" customHeight="false" outlineLevel="0" collapsed="false">
      <c r="A49" s="3" t="s">
        <v>232</v>
      </c>
      <c r="C49" s="11" t="n">
        <f aca="false">1-SUMIF(Mensuel!$C$4:$AN$4,2027,Mensuel!$C$22:$AN$22)/(C5+C7)</f>
        <v>0.943377321221543</v>
      </c>
      <c r="D49" s="11" t="n">
        <f aca="false">1-SUMIF(Mensuel!$C$4:$AN$4,2028,Mensuel!$C$22:$AN$22)/(D5+D7)</f>
        <v>0.959183673469388</v>
      </c>
      <c r="E49" s="11" t="n">
        <f aca="false">1-SUMIF(Mensuel!$C$4:$AN$4,2029,Mensuel!$C$22:$AN$22)/(E5+E7)</f>
        <v>0.959514170040486</v>
      </c>
    </row>
    <row r="50" customFormat="false" ht="15" hidden="false" customHeight="false" outlineLevel="0" collapsed="false">
      <c r="A50" s="12" t="s">
        <v>233</v>
      </c>
      <c r="C50" s="22" t="n">
        <f aca="false">C46*C49/C45</f>
        <v>3815.41899076998</v>
      </c>
      <c r="D50" s="22" t="n">
        <f aca="false">D46*D49/D45</f>
        <v>5381.64541154804</v>
      </c>
      <c r="E50" s="22" t="n">
        <f aca="false">E46*E49/E45</f>
        <v>5427.44664909313</v>
      </c>
    </row>
    <row r="51" customFormat="false" ht="15" hidden="false" customHeight="false" outlineLevel="0" collapsed="false">
      <c r="A51" s="3" t="s">
        <v>234</v>
      </c>
      <c r="C51" s="29" t="n">
        <f aca="false">C50/C48</f>
        <v>1.87213885710009</v>
      </c>
      <c r="D51" s="29" t="n">
        <f aca="false">D50/D48</f>
        <v>3.44977269971028</v>
      </c>
      <c r="E51" s="29" t="n">
        <f aca="false">E50/E48</f>
        <v>4.36884250391397</v>
      </c>
    </row>
    <row r="52" customFormat="false" ht="15" hidden="false" customHeight="false" outlineLevel="0" collapsed="false">
      <c r="A52" s="3" t="s">
        <v>235</v>
      </c>
      <c r="C52" s="29" t="n">
        <f aca="false">C48/(C46*C49/12)</f>
        <v>24.4646583619524</v>
      </c>
      <c r="D52" s="29" t="n">
        <f aca="false">D48/(D46*D49/12)</f>
        <v>13.2765957446809</v>
      </c>
      <c r="E52" s="29" t="n">
        <f aca="false">E48/(E46*E49/12)</f>
        <v>10.4836092177864</v>
      </c>
    </row>
    <row r="54" customFormat="false" ht="23.85" hidden="false" customHeight="false" outlineLevel="0" collapsed="false">
      <c r="A54" s="5" t="s">
        <v>236</v>
      </c>
      <c r="B54" s="27" t="s">
        <v>196</v>
      </c>
      <c r="C54" s="27" t="s">
        <v>54</v>
      </c>
      <c r="D54" s="27" t="s">
        <v>55</v>
      </c>
      <c r="E54" s="27" t="s">
        <v>56</v>
      </c>
    </row>
    <row r="55" customFormat="false" ht="15" hidden="false" customHeight="false" outlineLevel="0" collapsed="false">
      <c r="A55" s="3" t="s">
        <v>237</v>
      </c>
      <c r="C55" s="23" t="n">
        <f aca="false">C13+C14+C15+C16+C18+C19-C20</f>
        <v>113616.387644788</v>
      </c>
      <c r="D55" s="23" t="n">
        <f aca="false">D13+D14+D15+D16+D18+D19-D20</f>
        <v>207215.927370425</v>
      </c>
      <c r="E55" s="23" t="n">
        <f aca="false">E13+E14+E15+E16+E18+E19-E20</f>
        <v>281586.334095189</v>
      </c>
    </row>
    <row r="56" customFormat="false" ht="15" hidden="false" customHeight="false" outlineLevel="0" collapsed="false">
      <c r="A56" s="3" t="s">
        <v>238</v>
      </c>
      <c r="C56" s="23" t="n">
        <f aca="false">12*Hypothèses!$B$13+Hypothèses!$B$21*Hypothèses!C$22*Hypothèses!$B$20*Hypothèses!$B$19-12*Hypothèses!C$53</f>
        <v>1392</v>
      </c>
      <c r="D56" s="23" t="n">
        <f aca="false">12*Hypothèses!$B$13+Hypothèses!$B$21*Hypothèses!D$22*Hypothèses!$B$20*Hypothèses!$B$19-12*Hypothèses!D$53</f>
        <v>1410</v>
      </c>
      <c r="E56" s="23" t="n">
        <f aca="false">12*Hypothèses!$B$13+Hypothèses!$B$21*Hypothèses!E$22*Hypothèses!$B$20*Hypothèses!$B$19-12*Hypothèses!E$53</f>
        <v>1422</v>
      </c>
    </row>
    <row r="57" customFormat="false" ht="15" hidden="false" customHeight="false" outlineLevel="0" collapsed="false">
      <c r="A57" s="12" t="s">
        <v>239</v>
      </c>
      <c r="C57" s="30" t="n">
        <f aca="false">C55/C56</f>
        <v>81.6209681356239</v>
      </c>
      <c r="D57" s="30" t="n">
        <f aca="false">D55/D56</f>
        <v>146.961650617322</v>
      </c>
      <c r="E57" s="30" t="n">
        <f aca="false">E55/E56</f>
        <v>198.021331993804</v>
      </c>
    </row>
    <row r="58" customFormat="false" ht="15" hidden="false" customHeight="false" outlineLevel="0" collapsed="false">
      <c r="A58" s="3" t="s">
        <v>240</v>
      </c>
      <c r="C58" s="23" t="n">
        <f aca="false">C57*Hypothèses!$B$13</f>
        <v>9712.89520813924</v>
      </c>
      <c r="D58" s="23" t="n">
        <f aca="false">D57*Hypothèses!$B$13</f>
        <v>17488.4364234614</v>
      </c>
      <c r="E58" s="23" t="n">
        <f aca="false">E57*Hypothèses!$B$13</f>
        <v>23564.5385072626</v>
      </c>
    </row>
    <row r="60" customFormat="false" ht="15" hidden="false" customHeight="false" outlineLevel="0" collapsed="false">
      <c r="A60" s="12" t="s">
        <v>241</v>
      </c>
      <c r="B60" s="12" t="n">
        <f aca="false">IFERROR(MATCH(1,Mensuel!C41:AN41,0),"au-delà de 2029")</f>
        <v>38</v>
      </c>
    </row>
    <row r="61" customFormat="false" ht="15" hidden="false" customHeight="false" outlineLevel="0" collapsed="false">
      <c r="A61" s="12" t="s">
        <v>242</v>
      </c>
      <c r="B61" s="31" t="n">
        <f aca="false">MIN(Mensuel!C58:AN58)</f>
        <v>-15803.0597467551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2026-10-25T16:37:04Z</dcterms:created>
  <dc:creator>openpyxl</dc:creator>
  <dc:description/>
  <dc:language>en-US</dc:language>
  <cp:lastModifiedBy/>
  <dcterms:modified xsi:type="dcterms:W3CDTF">2026-10-25T16:37:04Z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